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\NMON\"/>
    </mc:Choice>
  </mc:AlternateContent>
  <bookViews>
    <workbookView xWindow="2850" yWindow="270" windowWidth="3510" windowHeight="2760"/>
  </bookViews>
  <sheets>
    <sheet name="Analyser" sheetId="1" r:id="rId1"/>
    <sheet name="Settings" sheetId="2" r:id="rId2"/>
    <sheet name="Release Notes" sheetId="3" r:id="rId3"/>
  </sheets>
  <definedNames>
    <definedName name="BBBFont">Settings!$B$6</definedName>
    <definedName name="COPIES">Settings!$B$19</definedName>
    <definedName name="CPUmax">Settings!$B$10</definedName>
    <definedName name="DELIM">Settings!$B$27</definedName>
    <definedName name="DISKSORT">Analyser!#REF!</definedName>
    <definedName name="ESSanal">Analyser!$B$16</definedName>
    <definedName name="FILELIST">Analyser!$B$17</definedName>
    <definedName name="FIRST">Analyser!$B$12</definedName>
    <definedName name="FIRSTTIME">Analyser!$B$13</definedName>
    <definedName name="GHEIGHT">Settings!$D$7</definedName>
    <definedName name="GRAPHS">Analyser!$B$11</definedName>
    <definedName name="GWIDTH">Settings!$B$7</definedName>
    <definedName name="LAST">Analyser!$C$12</definedName>
    <definedName name="LASTTIME">Analyser!$C$13</definedName>
    <definedName name="LIST">Settings!$B$8</definedName>
    <definedName name="LSCAPE">Settings!$D$19</definedName>
    <definedName name="MERGE">Analyser!$B$14</definedName>
    <definedName name="NOLIST">Settings!$B$9</definedName>
    <definedName name="NOTOP">Analyser!$C$14</definedName>
    <definedName name="OUTDIR">Settings!$B$3</definedName>
    <definedName name="OUTPUT">Analyser!$C$11</definedName>
    <definedName name="PIVOT">Analyser!$B$15</definedName>
    <definedName name="PivotParms">Settings!$C$17:$H$17</definedName>
    <definedName name="PNG">Settings!$B$23</definedName>
    <definedName name="PRINTER">Settings!$B$20</definedName>
    <definedName name="REORDER">Settings!$B$11</definedName>
    <definedName name="REPROC">Settings!$B$2</definedName>
    <definedName name="SortInp">Settings!$B$28</definedName>
    <definedName name="SUBDIR">Settings!$D$23</definedName>
    <definedName name="TOPDISKS">Settings!$B$12</definedName>
    <definedName name="WEBDIR">Settings!$B$24</definedName>
    <definedName name="xToD">Settings!$B$13</definedName>
  </definedNames>
  <calcPr calcId="152511"/>
</workbook>
</file>

<file path=xl/calcChain.xml><?xml version="1.0" encoding="utf-8"?>
<calcChain xmlns="http://schemas.openxmlformats.org/spreadsheetml/2006/main">
  <c r="B1" i="3" l="1"/>
  <c r="B54" i="1"/>
  <c r="B55" i="1" s="1"/>
  <c r="A1" i="3"/>
  <c r="D7" i="2"/>
  <c r="B56" i="1" l="1"/>
</calcChain>
</file>

<file path=xl/sharedStrings.xml><?xml version="1.0" encoding="utf-8"?>
<sst xmlns="http://schemas.openxmlformats.org/spreadsheetml/2006/main" count="118" uniqueCount="110">
  <si>
    <t>Stephen Atkins    (steve_atkins@uk.ibm.com)</t>
  </si>
  <si>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</si>
  <si>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</si>
  <si>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</si>
  <si>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</si>
  <si>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</si>
  <si>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</si>
  <si>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</si>
  <si>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</si>
  <si>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</si>
  <si>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</si>
  <si>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</si>
  <si>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</si>
  <si>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</si>
  <si>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</si>
  <si>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</si>
  <si>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</si>
  <si>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</si>
  <si>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</si>
  <si>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</si>
  <si>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</si>
  <si>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</si>
  <si>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</si>
  <si>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CHARTS</t>
  </si>
  <si>
    <t>Set to NO to disable reordering of sheets after analysis</t>
  </si>
  <si>
    <t>INTERVALS</t>
  </si>
  <si>
    <t>;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</si>
  <si>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</si>
  <si>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</si>
  <si>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</si>
  <si>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</si>
  <si>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</si>
  <si>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</si>
  <si>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</si>
  <si>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</si>
  <si>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</si>
  <si>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</si>
  <si>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</si>
  <si>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</si>
  <si>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</si>
  <si>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</si>
  <si>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</si>
  <si>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</si>
  <si>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KEEP</t>
  </si>
  <si>
    <t>MERGE</t>
  </si>
  <si>
    <t>SORTINP</t>
  </si>
  <si>
    <t xml:space="preserve">This option may be useful for users in Denmark and Norway and for users who experience problems with the 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</si>
  <si>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</si>
  <si>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</si>
  <si>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</si>
  <si>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</si>
  <si>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</si>
  <si>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</si>
  <si>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</si>
  <si>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</si>
  <si>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</si>
  <si>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</si>
  <si>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</si>
  <si>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</si>
  <si>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</si>
  <si>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</si>
  <si>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</si>
  <si>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</si>
  <si>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</si>
  <si>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</si>
  <si>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</si>
  <si>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</si>
  <si>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</si>
  <si>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</si>
  <si>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</si>
  <si>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</si>
  <si>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</si>
  <si>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</si>
  <si>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 xml:space="preserve">2. Set SORTINP to NO if you use the AIX sort command to pre-sort the nmon file.   </t>
  </si>
  <si>
    <t>Use Excel/Windows to sort input file? (see Note 2)</t>
  </si>
  <si>
    <t>Delimiter used in .csv file (see Note 1)</t>
  </si>
  <si>
    <t>1. This is only provided for backwards compatibilty with files that have been converted using nmon2csv - set to ";" if required</t>
  </si>
  <si>
    <t>Microsoft collating sequence or Windows Sort command.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</si>
  <si>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</si>
  <si>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</si>
  <si>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</si>
  <si>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</si>
  <si>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</si>
  <si>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</si>
  <si>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</si>
  <si>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</si>
  <si>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>Modifications: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</si>
  <si>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</si>
  <si>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</si>
  <si>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</si>
  <si>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</si>
  <si>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</si>
  <si>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</si>
  <si>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</si>
  <si>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</si>
  <si>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</si>
  <si>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</si>
  <si>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ALL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</si>
  <si>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</si>
  <si>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</si>
  <si>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</si>
  <si>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</si>
  <si>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</si>
  <si>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</si>
  <si>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</si>
  <si>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CPU_ALL,DISKBUSY,ESS*,EMC*,FAST*,LPAR,MEM*,NET,PAGE,PROC,TOP</t>
  </si>
  <si>
    <t>9.</t>
  </si>
  <si>
    <t>CPU_SUMM, DISK_SUMM and SYS_SUMM automatically added to LIST</t>
  </si>
  <si>
    <t>V3.4.a</t>
  </si>
  <si>
    <t>C:\Users\Rob\NMON\nmon_output\NMON-todo.txt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</si>
</sst>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3" fillId="0" borderId="0" xfId="0" applyFont="1" applyFill="1"/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7" fillId="0" borderId="0" xfId="0" applyNumberFormat="1" applyFont="1" applyAlignment="1">
      <alignment horizontal="center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285592"/>
        <c:axId val="382289904"/>
      </c:barChart>
      <c:catAx>
        <c:axId val="38228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9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2289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55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289512"/>
        <c:axId val="382288728"/>
      </c:barChart>
      <c:catAx>
        <c:axId val="382289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8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2288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95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08762619401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7413366621195E-2"/>
          <c:y val="0.16923119298676129"/>
          <c:w val="0.88527434269080707"/>
          <c:h val="0.705129970778171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Analyser!$A$54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Analyser!$A$55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Analyser!$A$56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282848"/>
        <c:axId val="382283240"/>
      </c:barChart>
      <c:catAx>
        <c:axId val="38228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3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2283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2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599467749458149"/>
          <c:w val="0.98724401221007241"/>
          <c:h val="0.61846909380229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9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27.995999999999999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320.93893413344699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284808"/>
        <c:axId val="382285984"/>
      </c:barChart>
      <c:catAx>
        <c:axId val="382284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5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22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22848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90363586999"/>
          <c:y val="3.33334247853164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39742849582136E-2"/>
          <c:y val="0.16666708400211339"/>
          <c:w val="0.88356201320784611"/>
          <c:h val="0.70769407976281995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27.995999999999999</c:v>
              </c:pt>
              <c:pt idx="1">
                <c:v>64.191999999999894</c:v>
              </c:pt>
              <c:pt idx="2">
                <c:v>5.9719999999999898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532.22424501495505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320.93893413344699</c:v>
              </c:pt>
              <c:pt idx="1">
                <c:v>211.38375498504399</c:v>
              </c:pt>
              <c:pt idx="2">
                <c:v>21.176088412592001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0504448"/>
        <c:axId val="380504840"/>
      </c:barChart>
      <c:catAx>
        <c:axId val="380504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50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050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5044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3843646895235266"/>
          <c:y val="0.44773683777332712"/>
          <c:w val="0.98724401221007241"/>
          <c:h val="0.6202112540810447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5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609600</xdr:colOff>
      <xdr:row>76</xdr:row>
      <xdr:rowOff>6350</xdr:rowOff>
    </xdr:from>
    <xdr:to>
      <xdr:col>14</xdr:col>
      <xdr:colOff>438150</xdr:colOff>
      <xdr:row>99</xdr:row>
      <xdr:rowOff>0</xdr:rowOff>
    </xdr:to>
    <xdr:graphicFrame macro="">
      <xdr:nvGraphicFramePr>
        <xdr:cNvPr id="116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3</xdr:row>
          <xdr:rowOff>139700</xdr:rowOff>
        </xdr:from>
        <xdr:to>
          <xdr:col>2</xdr:col>
          <xdr:colOff>1301750</xdr:colOff>
          <xdr:row>6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6"/>
  <sheetViews>
    <sheetView tabSelected="1" zoomScaleNormal="100" workbookViewId="0">
      <selection activeCell="B18" sqref="B18"/>
    </sheetView>
  </sheetViews>
  <sheetFormatPr defaultRowHeight="12.5" x14ac:dyDescent="0.25"/>
  <cols>
    <col min="1" max="1" width="10.7265625" bestFit="1" customWidth="1"/>
    <col min="2" max="2" width="33.36328125" style="16" customWidth="1"/>
    <col min="3" max="3" width="23.26953125" customWidth="1"/>
    <col min="4" max="7" width="12" customWidth="1"/>
    <col min="15" max="15" width="9.7265625" style="12" customWidth="1"/>
  </cols>
  <sheetData>
    <row r="1" spans="1:11" x14ac:dyDescent="0.25">
      <c r="A1" s="6" t="s">
        <v>108</v>
      </c>
      <c r="B1" s="33">
        <v>41149</v>
      </c>
      <c r="C1" s="7"/>
      <c r="D1" s="7"/>
      <c r="E1" s="7"/>
      <c r="F1" s="7"/>
      <c r="G1" s="7"/>
      <c r="H1" s="7"/>
      <c r="I1" s="7"/>
    </row>
    <row r="2" spans="1:11" x14ac:dyDescent="0.25">
      <c r="A2" s="7"/>
      <c r="B2" s="21"/>
      <c r="C2" s="7"/>
      <c r="D2" s="7"/>
      <c r="E2" s="7"/>
      <c r="F2" s="7"/>
      <c r="G2" s="7"/>
      <c r="H2" s="7"/>
      <c r="I2" s="7"/>
    </row>
    <row r="3" spans="1:11" x14ac:dyDescent="0.25">
      <c r="A3" s="7"/>
      <c r="B3" s="21"/>
      <c r="C3" s="7"/>
      <c r="D3" s="7"/>
      <c r="E3" s="7"/>
      <c r="F3" s="7"/>
      <c r="G3" s="7"/>
      <c r="H3" s="7"/>
      <c r="I3" s="7"/>
    </row>
    <row r="4" spans="1:11" x14ac:dyDescent="0.25">
      <c r="A4" s="7"/>
      <c r="B4" s="21"/>
      <c r="C4" s="7"/>
      <c r="D4" s="7"/>
      <c r="E4" s="7"/>
      <c r="F4" s="7"/>
      <c r="G4" s="7"/>
      <c r="H4" s="7"/>
      <c r="I4" s="7"/>
    </row>
    <row r="5" spans="1:11" x14ac:dyDescent="0.25">
      <c r="A5" s="7"/>
      <c r="B5" s="21"/>
      <c r="C5" s="7"/>
      <c r="D5" s="7"/>
      <c r="E5" s="7"/>
      <c r="F5" s="7"/>
      <c r="G5" s="7"/>
      <c r="H5" s="7"/>
      <c r="I5" s="7"/>
    </row>
    <row r="6" spans="1:11" x14ac:dyDescent="0.25">
      <c r="A6" s="7"/>
      <c r="B6" s="21"/>
      <c r="C6" s="7"/>
      <c r="D6" s="7"/>
      <c r="E6" s="7"/>
      <c r="F6" s="7"/>
      <c r="G6" s="7"/>
      <c r="H6" s="7"/>
      <c r="I6" s="7"/>
      <c r="J6" s="7"/>
      <c r="K6" s="7"/>
    </row>
    <row r="7" spans="1:11" x14ac:dyDescent="0.25">
      <c r="A7" s="7"/>
      <c r="B7" s="21"/>
      <c r="C7" s="7"/>
      <c r="D7" s="7"/>
      <c r="E7" s="7"/>
      <c r="F7" s="7"/>
      <c r="G7" s="7"/>
      <c r="H7" s="7"/>
      <c r="I7" s="7"/>
      <c r="J7" s="7"/>
      <c r="K7" s="7"/>
    </row>
    <row r="8" spans="1:11" x14ac:dyDescent="0.25">
      <c r="A8" s="7"/>
      <c r="B8" s="21"/>
      <c r="C8" s="7"/>
      <c r="D8" s="7"/>
      <c r="E8" s="7"/>
      <c r="F8" s="7"/>
      <c r="G8" s="7"/>
      <c r="H8" s="7"/>
      <c r="I8" s="7"/>
      <c r="J8" s="7"/>
      <c r="K8" s="7"/>
    </row>
    <row r="9" spans="1:11" x14ac:dyDescent="0.25">
      <c r="A9" s="7"/>
      <c r="B9" s="21"/>
      <c r="C9" s="7"/>
      <c r="D9" s="7"/>
      <c r="E9" s="7"/>
      <c r="F9" s="7"/>
      <c r="G9" s="7"/>
      <c r="H9" s="7"/>
      <c r="I9" s="7"/>
      <c r="J9" s="7"/>
      <c r="K9" s="7"/>
    </row>
    <row r="10" spans="1:11" ht="13" x14ac:dyDescent="0.3">
      <c r="A10" s="36" t="s">
        <v>81</v>
      </c>
      <c r="B10" s="22"/>
      <c r="C10" s="7"/>
      <c r="D10" s="7"/>
      <c r="E10" s="7"/>
      <c r="F10" s="7"/>
      <c r="G10" s="7"/>
      <c r="H10" s="7"/>
      <c r="I10" s="7"/>
      <c r="J10" s="7"/>
      <c r="K10" s="7"/>
    </row>
    <row r="11" spans="1:11" x14ac:dyDescent="0.25">
      <c r="A11" t="s">
        <v>30</v>
      </c>
      <c r="B11" s="23" t="s">
        <v>97</v>
      </c>
      <c r="C11" s="3" t="s">
        <v>23</v>
      </c>
      <c r="D11" t="s">
        <v>59</v>
      </c>
      <c r="H11" s="7"/>
      <c r="I11" s="7"/>
      <c r="J11" s="7"/>
      <c r="K11" s="7"/>
    </row>
    <row r="12" spans="1:11" x14ac:dyDescent="0.25">
      <c r="A12" t="s">
        <v>25</v>
      </c>
      <c r="B12" s="39">
        <v>1</v>
      </c>
      <c r="C12" s="40">
        <v>999999</v>
      </c>
      <c r="D12" t="s">
        <v>101</v>
      </c>
      <c r="H12" s="7"/>
      <c r="I12" s="7"/>
      <c r="J12" s="7"/>
      <c r="K12" s="7"/>
    </row>
    <row r="13" spans="1:11" x14ac:dyDescent="0.25">
      <c r="A13" t="s">
        <v>102</v>
      </c>
      <c r="B13" s="41"/>
      <c r="C13" s="38"/>
      <c r="D13" t="s">
        <v>104</v>
      </c>
      <c r="H13" s="7"/>
      <c r="I13" s="7"/>
      <c r="J13" s="7"/>
      <c r="K13" s="7"/>
    </row>
    <row r="14" spans="1:11" x14ac:dyDescent="0.25">
      <c r="A14" t="s">
        <v>44</v>
      </c>
      <c r="B14" s="23" t="s">
        <v>8</v>
      </c>
      <c r="C14" s="3" t="s">
        <v>66</v>
      </c>
      <c r="D14" t="s">
        <v>78</v>
      </c>
      <c r="H14" s="7"/>
      <c r="I14" s="7"/>
      <c r="J14" s="7"/>
      <c r="K14" s="7"/>
    </row>
    <row r="15" spans="1:11" x14ac:dyDescent="0.25">
      <c r="A15" t="s">
        <v>47</v>
      </c>
      <c r="B15" s="23" t="s">
        <v>8</v>
      </c>
      <c r="D15" t="s">
        <v>58</v>
      </c>
      <c r="I15" s="7"/>
      <c r="J15" s="7"/>
      <c r="K15" s="7"/>
    </row>
    <row r="16" spans="1:11" x14ac:dyDescent="0.25">
      <c r="A16" t="s">
        <v>80</v>
      </c>
      <c r="B16" s="16" t="s">
        <v>6</v>
      </c>
      <c r="C16" s="16"/>
      <c r="D16" t="s">
        <v>82</v>
      </c>
      <c r="H16" s="7"/>
      <c r="I16" s="7"/>
      <c r="J16" s="7"/>
      <c r="K16" s="7"/>
    </row>
    <row r="17" spans="1:15" x14ac:dyDescent="0.25">
      <c r="A17" t="s">
        <v>10</v>
      </c>
      <c r="B17" s="31" t="s">
        <v>109</v>
      </c>
      <c r="D17" t="s">
        <v>11</v>
      </c>
      <c r="H17" s="7"/>
      <c r="I17" s="7"/>
      <c r="J17" s="7"/>
      <c r="K17" s="7"/>
    </row>
    <row r="18" spans="1:15" x14ac:dyDescent="0.25">
      <c r="B18" s="31"/>
      <c r="C18" s="7"/>
      <c r="D18" s="7"/>
      <c r="E18" s="7"/>
      <c r="F18" s="7"/>
      <c r="G18" s="7"/>
      <c r="H18" s="7"/>
      <c r="I18" s="7"/>
      <c r="J18" s="7"/>
      <c r="K18" s="7"/>
    </row>
    <row r="19" spans="1:15" x14ac:dyDescent="0.25">
      <c r="B19" s="32"/>
      <c r="C19" s="7"/>
      <c r="D19" s="7"/>
      <c r="E19" s="7"/>
      <c r="F19" s="7"/>
      <c r="G19" s="7"/>
      <c r="H19" s="7"/>
      <c r="I19" s="7"/>
      <c r="J19" s="7"/>
      <c r="K19" s="7"/>
      <c r="O19" s="25"/>
    </row>
    <row r="20" spans="1:15" x14ac:dyDescent="0.25">
      <c r="B20" s="32"/>
      <c r="C20" s="7"/>
      <c r="D20" s="7"/>
      <c r="E20" s="7"/>
      <c r="F20" s="7"/>
      <c r="G20" s="7"/>
      <c r="H20" s="7"/>
      <c r="I20" s="7"/>
      <c r="J20" s="7"/>
      <c r="K20" s="7"/>
      <c r="O20" s="25"/>
    </row>
    <row r="21" spans="1:15" x14ac:dyDescent="0.25">
      <c r="B21" s="32"/>
      <c r="C21" s="7"/>
      <c r="D21" s="7"/>
      <c r="E21" s="7"/>
      <c r="F21" s="7"/>
      <c r="G21" s="7"/>
      <c r="H21" s="7"/>
      <c r="I21" s="7"/>
      <c r="J21" s="7"/>
      <c r="K21" s="7"/>
    </row>
    <row r="22" spans="1:15" x14ac:dyDescent="0.25">
      <c r="B22" s="32"/>
      <c r="C22" s="7"/>
      <c r="D22" s="7"/>
      <c r="E22" s="7"/>
      <c r="F22" s="7"/>
      <c r="G22" s="7"/>
      <c r="H22" s="7"/>
      <c r="I22" s="7"/>
      <c r="J22" s="7"/>
      <c r="K22" s="7"/>
    </row>
    <row r="23" spans="1:15" x14ac:dyDescent="0.25">
      <c r="B23" s="32"/>
      <c r="C23" s="7"/>
      <c r="D23" s="7"/>
      <c r="E23" s="7"/>
      <c r="F23" s="7"/>
      <c r="G23" s="7"/>
      <c r="H23" s="7"/>
      <c r="I23" s="7"/>
      <c r="J23" s="7"/>
      <c r="K23" s="7"/>
    </row>
    <row r="24" spans="1:15" x14ac:dyDescent="0.25">
      <c r="B24" s="31"/>
    </row>
    <row r="25" spans="1:15" x14ac:dyDescent="0.25">
      <c r="B25" s="31"/>
    </row>
    <row r="26" spans="1:15" x14ac:dyDescent="0.25">
      <c r="B26" s="31"/>
    </row>
    <row r="27" spans="1:15" x14ac:dyDescent="0.25">
      <c r="B27" s="31"/>
    </row>
    <row r="28" spans="1:15" x14ac:dyDescent="0.25">
      <c r="B28" s="31"/>
    </row>
    <row r="29" spans="1:15" x14ac:dyDescent="0.25">
      <c r="B29" s="31"/>
    </row>
    <row r="30" spans="1:15" x14ac:dyDescent="0.25">
      <c r="B30" s="31"/>
    </row>
    <row r="31" spans="1:15" x14ac:dyDescent="0.25">
      <c r="B31" s="31"/>
    </row>
    <row r="32" spans="1:15" x14ac:dyDescent="0.25">
      <c r="B32" s="31"/>
    </row>
    <row r="33" spans="2:2" x14ac:dyDescent="0.25">
      <c r="B33" s="31"/>
    </row>
    <row r="34" spans="2:2" x14ac:dyDescent="0.25">
      <c r="B34" s="31"/>
    </row>
    <row r="35" spans="2:2" x14ac:dyDescent="0.25">
      <c r="B35" s="31"/>
    </row>
    <row r="36" spans="2:2" x14ac:dyDescent="0.25">
      <c r="B36" s="31"/>
    </row>
    <row r="37" spans="2:2" x14ac:dyDescent="0.25">
      <c r="B37" s="31"/>
    </row>
    <row r="38" spans="2:2" x14ac:dyDescent="0.25">
      <c r="B38" s="31"/>
    </row>
    <row r="39" spans="2:2" x14ac:dyDescent="0.25">
      <c r="B39" s="31"/>
    </row>
    <row r="40" spans="2:2" x14ac:dyDescent="0.25">
      <c r="B40" s="31"/>
    </row>
    <row r="41" spans="2:2" x14ac:dyDescent="0.25">
      <c r="B41" s="31"/>
    </row>
    <row r="42" spans="2:2" x14ac:dyDescent="0.25">
      <c r="B42" s="31"/>
    </row>
    <row r="43" spans="2:2" x14ac:dyDescent="0.25">
      <c r="B43" s="31"/>
    </row>
    <row r="44" spans="2:2" x14ac:dyDescent="0.25">
      <c r="B44" s="31"/>
    </row>
    <row r="45" spans="2:2" x14ac:dyDescent="0.25">
      <c r="B45" s="31"/>
    </row>
    <row r="46" spans="2:2" x14ac:dyDescent="0.25">
      <c r="B46" s="31"/>
    </row>
    <row r="47" spans="2:2" x14ac:dyDescent="0.25">
      <c r="B47" s="31"/>
    </row>
    <row r="48" spans="2:2" x14ac:dyDescent="0.25">
      <c r="B48" s="31"/>
    </row>
    <row r="49" spans="1:2" x14ac:dyDescent="0.25">
      <c r="B49" s="31"/>
    </row>
    <row r="50" spans="1:2" x14ac:dyDescent="0.25">
      <c r="B50" s="31"/>
    </row>
    <row r="51" spans="1:2" x14ac:dyDescent="0.25">
      <c r="B51" s="31"/>
    </row>
    <row r="52" spans="1:2" x14ac:dyDescent="0.25">
      <c r="B52" s="31"/>
    </row>
    <row r="53" spans="1:2" x14ac:dyDescent="0.25">
      <c r="B53" s="31"/>
    </row>
    <row r="54" spans="1:2" x14ac:dyDescent="0.25">
      <c r="A54" t="s">
        <v>83</v>
      </c>
      <c r="B54" s="31">
        <f>AVERAGE(B2:B52)</f>
        <v>1</v>
      </c>
    </row>
    <row r="55" spans="1:2" x14ac:dyDescent="0.25">
      <c r="A55" t="s">
        <v>84</v>
      </c>
      <c r="B55" s="31">
        <f>IF(B54=0,0,MAX(SUMPRODUCT(B2:B52,B2:B52)/SUM(B2:B52)-B54,0))</f>
        <v>0</v>
      </c>
    </row>
    <row r="56" spans="1:2" x14ac:dyDescent="0.25">
      <c r="A56" t="s">
        <v>85</v>
      </c>
      <c r="B56" s="31">
        <f>ABS(MAX(B2:B52)-B54-B55)</f>
        <v>0</v>
      </c>
    </row>
    <row r="57" spans="1:2" x14ac:dyDescent="0.25">
      <c r="B57" s="31"/>
    </row>
    <row r="58" spans="1:2" x14ac:dyDescent="0.25">
      <c r="B58" s="31"/>
    </row>
    <row r="59" spans="1:2" x14ac:dyDescent="0.25">
      <c r="B59" s="31"/>
    </row>
    <row r="60" spans="1:2" x14ac:dyDescent="0.25">
      <c r="B60" s="31"/>
    </row>
    <row r="61" spans="1:2" x14ac:dyDescent="0.25">
      <c r="B61" s="31"/>
    </row>
    <row r="62" spans="1:2" x14ac:dyDescent="0.25">
      <c r="B62" s="31"/>
    </row>
    <row r="63" spans="1:2" x14ac:dyDescent="0.25">
      <c r="B63" s="31"/>
    </row>
    <row r="64" spans="1:2" x14ac:dyDescent="0.25">
      <c r="B64" s="31"/>
    </row>
    <row r="65" spans="2:2" x14ac:dyDescent="0.25">
      <c r="B65" s="31"/>
    </row>
    <row r="66" spans="2:2" x14ac:dyDescent="0.25">
      <c r="B66" s="31"/>
    </row>
    <row r="67" spans="2:2" x14ac:dyDescent="0.25">
      <c r="B67" s="31"/>
    </row>
    <row r="68" spans="2:2" x14ac:dyDescent="0.25">
      <c r="B68" s="31"/>
    </row>
    <row r="69" spans="2:2" x14ac:dyDescent="0.25">
      <c r="B69" s="31"/>
    </row>
    <row r="70" spans="2:2" x14ac:dyDescent="0.25">
      <c r="B70" s="31"/>
    </row>
    <row r="71" spans="2:2" x14ac:dyDescent="0.25">
      <c r="B71" s="31"/>
    </row>
    <row r="72" spans="2:2" x14ac:dyDescent="0.25">
      <c r="B72" s="31"/>
    </row>
    <row r="73" spans="2:2" x14ac:dyDescent="0.25">
      <c r="B73" s="31"/>
    </row>
    <row r="74" spans="2:2" x14ac:dyDescent="0.25">
      <c r="B74" s="31"/>
    </row>
    <row r="75" spans="2:2" x14ac:dyDescent="0.25">
      <c r="B75" s="31"/>
    </row>
    <row r="76" spans="2:2" x14ac:dyDescent="0.25">
      <c r="B76" s="31"/>
    </row>
    <row r="77" spans="2:2" x14ac:dyDescent="0.25">
      <c r="B77" s="31"/>
    </row>
    <row r="78" spans="2:2" x14ac:dyDescent="0.25">
      <c r="B78" s="31"/>
    </row>
    <row r="79" spans="2:2" x14ac:dyDescent="0.25">
      <c r="B79" s="31"/>
    </row>
    <row r="80" spans="2:2" x14ac:dyDescent="0.25">
      <c r="B80" s="31"/>
    </row>
    <row r="81" spans="2:2" x14ac:dyDescent="0.25">
      <c r="B81" s="31"/>
    </row>
    <row r="82" spans="2:2" x14ac:dyDescent="0.25">
      <c r="B82" s="31"/>
    </row>
    <row r="83" spans="2:2" x14ac:dyDescent="0.25">
      <c r="B83" s="31"/>
    </row>
    <row r="84" spans="2:2" x14ac:dyDescent="0.25">
      <c r="B84" s="31"/>
    </row>
    <row r="85" spans="2:2" x14ac:dyDescent="0.25">
      <c r="B85" s="31"/>
    </row>
    <row r="86" spans="2:2" x14ac:dyDescent="0.25">
      <c r="B86" s="31"/>
    </row>
    <row r="87" spans="2:2" x14ac:dyDescent="0.25">
      <c r="B87" s="31"/>
    </row>
    <row r="88" spans="2:2" x14ac:dyDescent="0.25">
      <c r="B88" s="31"/>
    </row>
    <row r="89" spans="2:2" x14ac:dyDescent="0.25">
      <c r="B89" s="31"/>
    </row>
    <row r="90" spans="2:2" x14ac:dyDescent="0.25">
      <c r="B90" s="31"/>
    </row>
    <row r="91" spans="2:2" x14ac:dyDescent="0.25">
      <c r="B91" s="31"/>
    </row>
    <row r="92" spans="2:2" x14ac:dyDescent="0.25">
      <c r="B92" s="31"/>
    </row>
    <row r="93" spans="2:2" x14ac:dyDescent="0.25">
      <c r="B93" s="31"/>
    </row>
    <row r="94" spans="2:2" x14ac:dyDescent="0.25">
      <c r="B94" s="31"/>
    </row>
    <row r="95" spans="2:2" x14ac:dyDescent="0.25">
      <c r="B95" s="31"/>
    </row>
    <row r="96" spans="2:2" x14ac:dyDescent="0.25">
      <c r="B96" s="31"/>
    </row>
    <row r="97" spans="2:2" x14ac:dyDescent="0.25">
      <c r="B97" s="31"/>
    </row>
    <row r="98" spans="2:2" x14ac:dyDescent="0.25">
      <c r="B98" s="31"/>
    </row>
    <row r="99" spans="2:2" x14ac:dyDescent="0.25">
      <c r="B99" s="31"/>
    </row>
    <row r="100" spans="2:2" x14ac:dyDescent="0.25">
      <c r="B100" s="31"/>
    </row>
    <row r="101" spans="2:2" x14ac:dyDescent="0.25">
      <c r="B101" s="31"/>
    </row>
    <row r="102" spans="2:2" x14ac:dyDescent="0.25">
      <c r="B102" s="31"/>
    </row>
    <row r="103" spans="2:2" x14ac:dyDescent="0.25">
      <c r="B103" s="31"/>
    </row>
    <row r="104" spans="2:2" x14ac:dyDescent="0.25">
      <c r="B104" s="31"/>
    </row>
    <row r="105" spans="2:2" x14ac:dyDescent="0.25">
      <c r="B105" s="31"/>
    </row>
    <row r="106" spans="2:2" x14ac:dyDescent="0.25">
      <c r="B106" s="31"/>
    </row>
    <row r="107" spans="2:2" x14ac:dyDescent="0.25">
      <c r="B107" s="31"/>
    </row>
    <row r="108" spans="2:2" x14ac:dyDescent="0.25">
      <c r="B108" s="31"/>
    </row>
    <row r="109" spans="2:2" x14ac:dyDescent="0.25">
      <c r="B109" s="31"/>
    </row>
    <row r="110" spans="2:2" x14ac:dyDescent="0.25">
      <c r="B110" s="31"/>
    </row>
    <row r="111" spans="2:2" x14ac:dyDescent="0.25">
      <c r="B111" s="31"/>
    </row>
    <row r="112" spans="2:2" x14ac:dyDescent="0.25">
      <c r="B112" s="31"/>
    </row>
    <row r="113" spans="2:2" x14ac:dyDescent="0.25">
      <c r="B113" s="31"/>
    </row>
    <row r="114" spans="2:2" x14ac:dyDescent="0.25">
      <c r="B114" s="31"/>
    </row>
    <row r="115" spans="2:2" x14ac:dyDescent="0.25">
      <c r="B115" s="31"/>
    </row>
    <row r="116" spans="2:2" x14ac:dyDescent="0.25">
      <c r="B116" s="31"/>
    </row>
    <row r="117" spans="2:2" x14ac:dyDescent="0.25">
      <c r="B117" s="31"/>
    </row>
    <row r="118" spans="2:2" x14ac:dyDescent="0.25">
      <c r="B118" s="31"/>
    </row>
    <row r="119" spans="2:2" x14ac:dyDescent="0.25">
      <c r="B119" s="31"/>
    </row>
    <row r="120" spans="2:2" x14ac:dyDescent="0.25">
      <c r="B120" s="31"/>
    </row>
    <row r="121" spans="2:2" x14ac:dyDescent="0.25">
      <c r="B121" s="31"/>
    </row>
    <row r="122" spans="2:2" x14ac:dyDescent="0.25">
      <c r="B122" s="31"/>
    </row>
    <row r="123" spans="2:2" x14ac:dyDescent="0.25">
      <c r="B123" s="31"/>
    </row>
    <row r="124" spans="2:2" x14ac:dyDescent="0.25">
      <c r="B124" s="31"/>
    </row>
    <row r="125" spans="2:2" x14ac:dyDescent="0.25">
      <c r="B125" s="31"/>
    </row>
    <row r="126" spans="2:2" x14ac:dyDescent="0.25">
      <c r="B126" s="31"/>
    </row>
    <row r="127" spans="2:2" x14ac:dyDescent="0.25">
      <c r="B127" s="31"/>
    </row>
    <row r="128" spans="2:2" x14ac:dyDescent="0.25">
      <c r="B128" s="31"/>
    </row>
    <row r="129" spans="2:2" x14ac:dyDescent="0.25">
      <c r="B129" s="31"/>
    </row>
    <row r="130" spans="2:2" x14ac:dyDescent="0.25">
      <c r="B130" s="31"/>
    </row>
    <row r="131" spans="2:2" x14ac:dyDescent="0.25">
      <c r="B131" s="31"/>
    </row>
    <row r="132" spans="2:2" x14ac:dyDescent="0.25">
      <c r="B132" s="31"/>
    </row>
    <row r="133" spans="2:2" x14ac:dyDescent="0.25">
      <c r="B133" s="31"/>
    </row>
    <row r="134" spans="2:2" x14ac:dyDescent="0.25">
      <c r="B134" s="31"/>
    </row>
    <row r="135" spans="2:2" x14ac:dyDescent="0.25">
      <c r="B135" s="31"/>
    </row>
    <row r="136" spans="2:2" x14ac:dyDescent="0.25">
      <c r="B136" s="31"/>
    </row>
    <row r="137" spans="2:2" x14ac:dyDescent="0.25">
      <c r="B137" s="31"/>
    </row>
    <row r="138" spans="2:2" x14ac:dyDescent="0.25">
      <c r="B138" s="31"/>
    </row>
    <row r="139" spans="2:2" x14ac:dyDescent="0.25">
      <c r="B139" s="31"/>
    </row>
    <row r="140" spans="2:2" x14ac:dyDescent="0.25">
      <c r="B140" s="31"/>
    </row>
    <row r="141" spans="2:2" x14ac:dyDescent="0.25">
      <c r="B141" s="31"/>
    </row>
    <row r="142" spans="2:2" x14ac:dyDescent="0.25">
      <c r="B142" s="31"/>
    </row>
    <row r="143" spans="2:2" x14ac:dyDescent="0.25">
      <c r="B143" s="31"/>
    </row>
    <row r="144" spans="2:2" x14ac:dyDescent="0.25">
      <c r="B144" s="31"/>
    </row>
    <row r="145" spans="2:2" x14ac:dyDescent="0.25">
      <c r="B145" s="31"/>
    </row>
    <row r="146" spans="2:2" x14ac:dyDescent="0.25">
      <c r="B146" s="31"/>
    </row>
    <row r="147" spans="2:2" x14ac:dyDescent="0.25">
      <c r="B147" s="31"/>
    </row>
    <row r="148" spans="2:2" x14ac:dyDescent="0.25">
      <c r="B148" s="31"/>
    </row>
    <row r="149" spans="2:2" x14ac:dyDescent="0.25">
      <c r="B149" s="31"/>
    </row>
    <row r="150" spans="2:2" x14ac:dyDescent="0.25">
      <c r="B150" s="31"/>
    </row>
    <row r="151" spans="2:2" x14ac:dyDescent="0.25">
      <c r="B151" s="31"/>
    </row>
    <row r="152" spans="2:2" x14ac:dyDescent="0.25">
      <c r="B152" s="31"/>
    </row>
    <row r="153" spans="2:2" x14ac:dyDescent="0.25">
      <c r="B153" s="31"/>
    </row>
    <row r="154" spans="2:2" x14ac:dyDescent="0.25">
      <c r="B154" s="31"/>
    </row>
    <row r="155" spans="2:2" x14ac:dyDescent="0.25">
      <c r="B155" s="31"/>
    </row>
    <row r="156" spans="2:2" x14ac:dyDescent="0.25">
      <c r="B156" s="31"/>
    </row>
    <row r="157" spans="2:2" x14ac:dyDescent="0.25">
      <c r="B157" s="31"/>
    </row>
    <row r="158" spans="2:2" x14ac:dyDescent="0.25">
      <c r="B158" s="31"/>
    </row>
    <row r="159" spans="2:2" x14ac:dyDescent="0.25">
      <c r="B159" s="31"/>
    </row>
    <row r="160" spans="2:2" x14ac:dyDescent="0.25">
      <c r="B160" s="31"/>
    </row>
    <row r="161" spans="2:2" x14ac:dyDescent="0.25">
      <c r="B161" s="31"/>
    </row>
    <row r="162" spans="2:2" x14ac:dyDescent="0.25">
      <c r="B162" s="31"/>
    </row>
    <row r="163" spans="2:2" x14ac:dyDescent="0.25">
      <c r="B163" s="31"/>
    </row>
    <row r="164" spans="2:2" x14ac:dyDescent="0.25">
      <c r="B164" s="31"/>
    </row>
    <row r="165" spans="2:2" x14ac:dyDescent="0.25">
      <c r="B165" s="31"/>
    </row>
    <row r="166" spans="2:2" x14ac:dyDescent="0.25">
      <c r="B166" s="31"/>
    </row>
    <row r="167" spans="2:2" x14ac:dyDescent="0.25">
      <c r="B167" s="31"/>
    </row>
    <row r="168" spans="2:2" x14ac:dyDescent="0.25">
      <c r="B168" s="31"/>
    </row>
    <row r="169" spans="2:2" x14ac:dyDescent="0.25">
      <c r="B169" s="31"/>
    </row>
    <row r="170" spans="2:2" x14ac:dyDescent="0.25">
      <c r="B170" s="31"/>
    </row>
    <row r="171" spans="2:2" x14ac:dyDescent="0.25">
      <c r="B171" s="31"/>
    </row>
    <row r="172" spans="2:2" x14ac:dyDescent="0.25">
      <c r="B172" s="31"/>
    </row>
    <row r="173" spans="2:2" x14ac:dyDescent="0.25">
      <c r="B173" s="31"/>
    </row>
    <row r="174" spans="2:2" x14ac:dyDescent="0.25">
      <c r="B174" s="31"/>
    </row>
    <row r="175" spans="2:2" x14ac:dyDescent="0.25">
      <c r="B175" s="31"/>
    </row>
    <row r="176" spans="2:2" x14ac:dyDescent="0.25">
      <c r="B176" s="31"/>
    </row>
    <row r="177" spans="2:2" x14ac:dyDescent="0.25">
      <c r="B177" s="31"/>
    </row>
    <row r="178" spans="2:2" x14ac:dyDescent="0.25">
      <c r="B178" s="31"/>
    </row>
    <row r="179" spans="2:2" x14ac:dyDescent="0.25">
      <c r="B179" s="31"/>
    </row>
    <row r="180" spans="2:2" x14ac:dyDescent="0.25">
      <c r="B180" s="31"/>
    </row>
    <row r="181" spans="2:2" x14ac:dyDescent="0.25">
      <c r="B181" s="31"/>
    </row>
    <row r="182" spans="2:2" x14ac:dyDescent="0.25">
      <c r="B182" s="31"/>
    </row>
    <row r="183" spans="2:2" x14ac:dyDescent="0.25">
      <c r="B183" s="31"/>
    </row>
    <row r="184" spans="2:2" x14ac:dyDescent="0.25">
      <c r="B184" s="31"/>
    </row>
    <row r="185" spans="2:2" x14ac:dyDescent="0.25">
      <c r="B185" s="31"/>
    </row>
    <row r="186" spans="2:2" x14ac:dyDescent="0.25">
      <c r="B186" s="31"/>
    </row>
    <row r="187" spans="2:2" x14ac:dyDescent="0.25">
      <c r="B187" s="31"/>
    </row>
    <row r="188" spans="2:2" x14ac:dyDescent="0.25">
      <c r="B188" s="31"/>
    </row>
    <row r="189" spans="2:2" x14ac:dyDescent="0.25">
      <c r="B189" s="31"/>
    </row>
    <row r="190" spans="2:2" x14ac:dyDescent="0.25">
      <c r="B190" s="31"/>
    </row>
    <row r="191" spans="2:2" x14ac:dyDescent="0.25">
      <c r="B191" s="31"/>
    </row>
    <row r="192" spans="2:2" x14ac:dyDescent="0.25">
      <c r="B192" s="31"/>
    </row>
    <row r="193" spans="2:2" x14ac:dyDescent="0.25">
      <c r="B193" s="31"/>
    </row>
    <row r="194" spans="2:2" x14ac:dyDescent="0.25">
      <c r="B194" s="31"/>
    </row>
    <row r="195" spans="2:2" x14ac:dyDescent="0.25">
      <c r="B195" s="31"/>
    </row>
    <row r="196" spans="2:2" x14ac:dyDescent="0.25">
      <c r="B196" s="31"/>
    </row>
    <row r="197" spans="2:2" x14ac:dyDescent="0.25">
      <c r="B197" s="31"/>
    </row>
    <row r="198" spans="2:2" x14ac:dyDescent="0.25">
      <c r="B198" s="31"/>
    </row>
    <row r="199" spans="2:2" x14ac:dyDescent="0.25">
      <c r="B199" s="31"/>
    </row>
    <row r="200" spans="2:2" x14ac:dyDescent="0.25">
      <c r="B200" s="31"/>
    </row>
    <row r="201" spans="2:2" x14ac:dyDescent="0.25">
      <c r="B201" s="31"/>
    </row>
    <row r="202" spans="2:2" x14ac:dyDescent="0.25">
      <c r="B202" s="31"/>
    </row>
    <row r="203" spans="2:2" x14ac:dyDescent="0.25">
      <c r="B203" s="31"/>
    </row>
    <row r="204" spans="2:2" x14ac:dyDescent="0.25">
      <c r="B204" s="31"/>
    </row>
    <row r="205" spans="2:2" x14ac:dyDescent="0.25">
      <c r="B205" s="31"/>
    </row>
    <row r="206" spans="2:2" x14ac:dyDescent="0.25">
      <c r="B206" s="31"/>
    </row>
    <row r="207" spans="2:2" x14ac:dyDescent="0.25">
      <c r="B207" s="31"/>
    </row>
    <row r="208" spans="2:2" x14ac:dyDescent="0.25">
      <c r="B208" s="31"/>
    </row>
    <row r="209" spans="2:2" x14ac:dyDescent="0.25">
      <c r="B209" s="31"/>
    </row>
    <row r="210" spans="2:2" x14ac:dyDescent="0.25">
      <c r="B210" s="31"/>
    </row>
    <row r="211" spans="2:2" x14ac:dyDescent="0.25">
      <c r="B211" s="31"/>
    </row>
    <row r="212" spans="2:2" x14ac:dyDescent="0.25">
      <c r="B212" s="31"/>
    </row>
    <row r="213" spans="2:2" x14ac:dyDescent="0.25">
      <c r="B213" s="31"/>
    </row>
    <row r="214" spans="2:2" x14ac:dyDescent="0.25">
      <c r="B214" s="31"/>
    </row>
    <row r="215" spans="2:2" x14ac:dyDescent="0.25">
      <c r="B215" s="31"/>
    </row>
    <row r="216" spans="2:2" x14ac:dyDescent="0.25">
      <c r="B216" s="31"/>
    </row>
    <row r="217" spans="2:2" x14ac:dyDescent="0.25">
      <c r="B217" s="31"/>
    </row>
    <row r="218" spans="2:2" x14ac:dyDescent="0.25">
      <c r="B218" s="31"/>
    </row>
    <row r="219" spans="2:2" x14ac:dyDescent="0.25">
      <c r="B219" s="31"/>
    </row>
    <row r="220" spans="2:2" x14ac:dyDescent="0.25">
      <c r="B220" s="31"/>
    </row>
    <row r="221" spans="2:2" x14ac:dyDescent="0.25">
      <c r="B221" s="31"/>
    </row>
    <row r="222" spans="2:2" x14ac:dyDescent="0.25">
      <c r="B222" s="31"/>
    </row>
    <row r="223" spans="2:2" x14ac:dyDescent="0.25">
      <c r="B223" s="31"/>
    </row>
    <row r="224" spans="2:2" x14ac:dyDescent="0.25">
      <c r="B224" s="31"/>
    </row>
    <row r="225" spans="2:2" x14ac:dyDescent="0.25">
      <c r="B225" s="31"/>
    </row>
    <row r="226" spans="2:2" x14ac:dyDescent="0.25">
      <c r="B226" s="31"/>
    </row>
    <row r="227" spans="2:2" x14ac:dyDescent="0.25">
      <c r="B227" s="31"/>
    </row>
    <row r="228" spans="2:2" x14ac:dyDescent="0.25">
      <c r="B228" s="31"/>
    </row>
    <row r="229" spans="2:2" x14ac:dyDescent="0.25">
      <c r="B229" s="31"/>
    </row>
    <row r="230" spans="2:2" x14ac:dyDescent="0.25">
      <c r="B230" s="31"/>
    </row>
    <row r="231" spans="2:2" x14ac:dyDescent="0.25">
      <c r="B231" s="31"/>
    </row>
    <row r="232" spans="2:2" x14ac:dyDescent="0.25">
      <c r="B232" s="31"/>
    </row>
    <row r="233" spans="2:2" x14ac:dyDescent="0.25">
      <c r="B233" s="31"/>
    </row>
    <row r="234" spans="2:2" x14ac:dyDescent="0.25">
      <c r="B234" s="31"/>
    </row>
    <row r="235" spans="2:2" x14ac:dyDescent="0.25">
      <c r="B235" s="31"/>
    </row>
    <row r="236" spans="2:2" x14ac:dyDescent="0.25">
      <c r="B236" s="31"/>
    </row>
    <row r="237" spans="2:2" x14ac:dyDescent="0.25">
      <c r="B237" s="31"/>
    </row>
    <row r="238" spans="2:2" x14ac:dyDescent="0.25">
      <c r="B238" s="31"/>
    </row>
    <row r="239" spans="2:2" x14ac:dyDescent="0.25">
      <c r="B239" s="31"/>
    </row>
    <row r="240" spans="2:2" x14ac:dyDescent="0.25">
      <c r="B240" s="31"/>
    </row>
    <row r="241" spans="2:2" x14ac:dyDescent="0.25">
      <c r="B241" s="31"/>
    </row>
    <row r="242" spans="2:2" x14ac:dyDescent="0.25">
      <c r="B242" s="31"/>
    </row>
    <row r="243" spans="2:2" x14ac:dyDescent="0.25">
      <c r="B243" s="31"/>
    </row>
    <row r="244" spans="2:2" x14ac:dyDescent="0.25">
      <c r="B244" s="31"/>
    </row>
    <row r="245" spans="2:2" x14ac:dyDescent="0.25">
      <c r="B245" s="31"/>
    </row>
    <row r="246" spans="2:2" x14ac:dyDescent="0.25">
      <c r="B246" s="31"/>
    </row>
    <row r="247" spans="2:2" x14ac:dyDescent="0.25">
      <c r="B247" s="31"/>
    </row>
    <row r="248" spans="2:2" x14ac:dyDescent="0.25">
      <c r="B248" s="31"/>
    </row>
    <row r="249" spans="2:2" x14ac:dyDescent="0.25">
      <c r="B249" s="31"/>
    </row>
    <row r="250" spans="2:2" x14ac:dyDescent="0.25">
      <c r="B250" s="31"/>
    </row>
    <row r="251" spans="2:2" x14ac:dyDescent="0.25">
      <c r="B251" s="31"/>
    </row>
    <row r="252" spans="2:2" x14ac:dyDescent="0.25">
      <c r="B252" s="31"/>
    </row>
    <row r="253" spans="2:2" x14ac:dyDescent="0.25">
      <c r="B253" s="31"/>
    </row>
    <row r="254" spans="2:2" x14ac:dyDescent="0.25">
      <c r="B254" s="31"/>
    </row>
    <row r="255" spans="2:2" x14ac:dyDescent="0.25">
      <c r="B255" s="31"/>
    </row>
    <row r="256" spans="2:2" x14ac:dyDescent="0.25">
      <c r="B256" s="31"/>
    </row>
    <row r="257" spans="2:2" x14ac:dyDescent="0.25">
      <c r="B257" s="31"/>
    </row>
    <row r="258" spans="2:2" x14ac:dyDescent="0.25">
      <c r="B258" s="31"/>
    </row>
    <row r="259" spans="2:2" x14ac:dyDescent="0.25">
      <c r="B259" s="31"/>
    </row>
    <row r="260" spans="2:2" x14ac:dyDescent="0.25">
      <c r="B260" s="31"/>
    </row>
    <row r="261" spans="2:2" x14ac:dyDescent="0.25">
      <c r="B261" s="31"/>
    </row>
    <row r="262" spans="2:2" x14ac:dyDescent="0.25">
      <c r="B262" s="31"/>
    </row>
    <row r="263" spans="2:2" x14ac:dyDescent="0.25">
      <c r="B263" s="31"/>
    </row>
    <row r="264" spans="2:2" x14ac:dyDescent="0.25">
      <c r="B264" s="31"/>
    </row>
    <row r="265" spans="2:2" x14ac:dyDescent="0.25">
      <c r="B265" s="31"/>
    </row>
    <row r="266" spans="2:2" x14ac:dyDescent="0.25">
      <c r="B266" s="31"/>
    </row>
    <row r="267" spans="2:2" x14ac:dyDescent="0.25">
      <c r="B267" s="31"/>
    </row>
    <row r="268" spans="2:2" x14ac:dyDescent="0.25">
      <c r="B268" s="31"/>
    </row>
    <row r="269" spans="2:2" x14ac:dyDescent="0.25">
      <c r="B269" s="31"/>
    </row>
    <row r="270" spans="2:2" x14ac:dyDescent="0.25">
      <c r="B270" s="31"/>
    </row>
    <row r="271" spans="2:2" x14ac:dyDescent="0.25">
      <c r="B271" s="31"/>
    </row>
    <row r="272" spans="2:2" x14ac:dyDescent="0.25">
      <c r="B272" s="31"/>
    </row>
    <row r="273" spans="2:2" x14ac:dyDescent="0.25">
      <c r="B273" s="31"/>
    </row>
    <row r="274" spans="2:2" x14ac:dyDescent="0.25">
      <c r="B274" s="31"/>
    </row>
    <row r="275" spans="2:2" x14ac:dyDescent="0.25">
      <c r="B275" s="31"/>
    </row>
    <row r="276" spans="2:2" x14ac:dyDescent="0.25">
      <c r="B276" s="31"/>
    </row>
    <row r="277" spans="2:2" x14ac:dyDescent="0.25">
      <c r="B277" s="31"/>
    </row>
    <row r="278" spans="2:2" x14ac:dyDescent="0.25">
      <c r="B278" s="31"/>
    </row>
    <row r="279" spans="2:2" x14ac:dyDescent="0.25">
      <c r="B279" s="31"/>
    </row>
    <row r="280" spans="2:2" x14ac:dyDescent="0.25">
      <c r="B280" s="31"/>
    </row>
    <row r="281" spans="2:2" x14ac:dyDescent="0.25">
      <c r="B281" s="31"/>
    </row>
    <row r="282" spans="2:2" x14ac:dyDescent="0.25">
      <c r="B282" s="31"/>
    </row>
    <row r="283" spans="2:2" x14ac:dyDescent="0.25">
      <c r="B283" s="31"/>
    </row>
    <row r="284" spans="2:2" x14ac:dyDescent="0.25">
      <c r="B284" s="31"/>
    </row>
    <row r="285" spans="2:2" x14ac:dyDescent="0.25">
      <c r="B285" s="31"/>
    </row>
    <row r="286" spans="2:2" x14ac:dyDescent="0.25">
      <c r="B286" s="31"/>
    </row>
    <row r="287" spans="2:2" x14ac:dyDescent="0.25">
      <c r="B287" s="31"/>
    </row>
    <row r="288" spans="2:2" x14ac:dyDescent="0.25">
      <c r="B288" s="31"/>
    </row>
    <row r="289" spans="2:2" x14ac:dyDescent="0.25">
      <c r="B289" s="31"/>
    </row>
    <row r="290" spans="2:2" x14ac:dyDescent="0.25">
      <c r="B290" s="31"/>
    </row>
    <row r="291" spans="2:2" x14ac:dyDescent="0.25">
      <c r="B291" s="31"/>
    </row>
    <row r="292" spans="2:2" x14ac:dyDescent="0.25">
      <c r="B292" s="31"/>
    </row>
    <row r="293" spans="2:2" x14ac:dyDescent="0.25">
      <c r="B293" s="31"/>
    </row>
    <row r="294" spans="2:2" x14ac:dyDescent="0.25">
      <c r="B294" s="31"/>
    </row>
    <row r="295" spans="2:2" x14ac:dyDescent="0.25">
      <c r="B295" s="31"/>
    </row>
    <row r="296" spans="2:2" x14ac:dyDescent="0.25">
      <c r="B296" s="31"/>
    </row>
    <row r="297" spans="2:2" x14ac:dyDescent="0.25">
      <c r="B297" s="31"/>
    </row>
    <row r="298" spans="2:2" x14ac:dyDescent="0.25">
      <c r="B298" s="31"/>
    </row>
    <row r="299" spans="2:2" x14ac:dyDescent="0.25">
      <c r="B299" s="31"/>
    </row>
    <row r="300" spans="2:2" x14ac:dyDescent="0.25">
      <c r="B300" s="31"/>
    </row>
    <row r="301" spans="2:2" x14ac:dyDescent="0.25">
      <c r="B301" s="31"/>
    </row>
    <row r="302" spans="2:2" x14ac:dyDescent="0.25">
      <c r="B302" s="31"/>
    </row>
    <row r="303" spans="2:2" x14ac:dyDescent="0.25">
      <c r="B303" s="31"/>
    </row>
    <row r="304" spans="2:2" x14ac:dyDescent="0.25">
      <c r="B304" s="31"/>
    </row>
    <row r="305" spans="2:2" x14ac:dyDescent="0.25">
      <c r="B305" s="31"/>
    </row>
    <row r="306" spans="2:2" x14ac:dyDescent="0.25">
      <c r="B306" s="31"/>
    </row>
    <row r="307" spans="2:2" x14ac:dyDescent="0.25">
      <c r="B307" s="31"/>
    </row>
    <row r="308" spans="2:2" x14ac:dyDescent="0.25">
      <c r="B308" s="31"/>
    </row>
    <row r="309" spans="2:2" x14ac:dyDescent="0.25">
      <c r="B309" s="31"/>
    </row>
    <row r="310" spans="2:2" x14ac:dyDescent="0.25">
      <c r="B310" s="31"/>
    </row>
    <row r="311" spans="2:2" x14ac:dyDescent="0.25">
      <c r="B311" s="31"/>
    </row>
    <row r="312" spans="2:2" x14ac:dyDescent="0.25">
      <c r="B312" s="31"/>
    </row>
    <row r="313" spans="2:2" x14ac:dyDescent="0.25">
      <c r="B313" s="31"/>
    </row>
    <row r="314" spans="2:2" x14ac:dyDescent="0.25">
      <c r="B314" s="31"/>
    </row>
    <row r="315" spans="2:2" x14ac:dyDescent="0.25">
      <c r="B315" s="31"/>
    </row>
    <row r="316" spans="2:2" x14ac:dyDescent="0.25">
      <c r="B316" s="31"/>
    </row>
    <row r="317" spans="2:2" x14ac:dyDescent="0.25">
      <c r="B317" s="31"/>
    </row>
    <row r="318" spans="2:2" x14ac:dyDescent="0.25">
      <c r="B318" s="31"/>
    </row>
    <row r="319" spans="2:2" x14ac:dyDescent="0.25">
      <c r="B319" s="31"/>
    </row>
    <row r="320" spans="2:2" x14ac:dyDescent="0.25">
      <c r="B320" s="31"/>
    </row>
    <row r="321" spans="2:2" x14ac:dyDescent="0.25">
      <c r="B321" s="31"/>
    </row>
    <row r="322" spans="2:2" x14ac:dyDescent="0.25">
      <c r="B322" s="31"/>
    </row>
    <row r="323" spans="2:2" x14ac:dyDescent="0.25">
      <c r="B323" s="31"/>
    </row>
    <row r="324" spans="2:2" x14ac:dyDescent="0.25">
      <c r="B324" s="31"/>
    </row>
    <row r="325" spans="2:2" x14ac:dyDescent="0.25">
      <c r="B325" s="31"/>
    </row>
    <row r="326" spans="2:2" x14ac:dyDescent="0.25">
      <c r="B326" s="31"/>
    </row>
    <row r="327" spans="2:2" x14ac:dyDescent="0.25">
      <c r="B327" s="31"/>
    </row>
    <row r="328" spans="2:2" x14ac:dyDescent="0.25">
      <c r="B328" s="31"/>
    </row>
    <row r="329" spans="2:2" x14ac:dyDescent="0.25">
      <c r="B329" s="31"/>
    </row>
    <row r="330" spans="2:2" x14ac:dyDescent="0.25">
      <c r="B330" s="31"/>
    </row>
    <row r="331" spans="2:2" x14ac:dyDescent="0.25">
      <c r="B331" s="31"/>
    </row>
    <row r="332" spans="2:2" x14ac:dyDescent="0.25">
      <c r="B332" s="31"/>
    </row>
    <row r="333" spans="2:2" x14ac:dyDescent="0.25">
      <c r="B333" s="31"/>
    </row>
    <row r="334" spans="2:2" x14ac:dyDescent="0.25">
      <c r="B334" s="31"/>
    </row>
    <row r="335" spans="2:2" x14ac:dyDescent="0.25">
      <c r="B335" s="31"/>
    </row>
    <row r="336" spans="2:2" x14ac:dyDescent="0.25">
      <c r="B336" s="31"/>
    </row>
    <row r="337" spans="2:2" x14ac:dyDescent="0.25">
      <c r="B337" s="31"/>
    </row>
    <row r="338" spans="2:2" x14ac:dyDescent="0.25">
      <c r="B338" s="31"/>
    </row>
    <row r="339" spans="2:2" x14ac:dyDescent="0.25">
      <c r="B339" s="31"/>
    </row>
    <row r="340" spans="2:2" x14ac:dyDescent="0.25">
      <c r="B340" s="31"/>
    </row>
    <row r="341" spans="2:2" x14ac:dyDescent="0.25">
      <c r="B341" s="31"/>
    </row>
    <row r="342" spans="2:2" x14ac:dyDescent="0.25">
      <c r="B342" s="31"/>
    </row>
    <row r="343" spans="2:2" x14ac:dyDescent="0.25">
      <c r="B343" s="31"/>
    </row>
    <row r="344" spans="2:2" x14ac:dyDescent="0.25">
      <c r="B344" s="31"/>
    </row>
    <row r="345" spans="2:2" x14ac:dyDescent="0.25">
      <c r="B345" s="31"/>
    </row>
    <row r="346" spans="2:2" x14ac:dyDescent="0.25">
      <c r="B346" s="31"/>
    </row>
    <row r="347" spans="2:2" x14ac:dyDescent="0.25">
      <c r="B347" s="31"/>
    </row>
    <row r="348" spans="2:2" x14ac:dyDescent="0.25">
      <c r="B348" s="31"/>
    </row>
    <row r="349" spans="2:2" x14ac:dyDescent="0.25">
      <c r="B349" s="31"/>
    </row>
    <row r="350" spans="2:2" x14ac:dyDescent="0.25">
      <c r="B350" s="31"/>
    </row>
    <row r="351" spans="2:2" x14ac:dyDescent="0.25">
      <c r="B351" s="31"/>
    </row>
    <row r="352" spans="2:2" x14ac:dyDescent="0.25">
      <c r="B352" s="31"/>
    </row>
    <row r="353" spans="2:2" x14ac:dyDescent="0.25">
      <c r="B353" s="31"/>
    </row>
    <row r="354" spans="2:2" x14ac:dyDescent="0.25">
      <c r="B354" s="31"/>
    </row>
    <row r="355" spans="2:2" x14ac:dyDescent="0.25">
      <c r="B355" s="31"/>
    </row>
    <row r="356" spans="2:2" x14ac:dyDescent="0.25">
      <c r="B356" s="31"/>
    </row>
    <row r="357" spans="2:2" x14ac:dyDescent="0.25">
      <c r="B357" s="31"/>
    </row>
    <row r="358" spans="2:2" x14ac:dyDescent="0.25">
      <c r="B358" s="31"/>
    </row>
    <row r="359" spans="2:2" x14ac:dyDescent="0.25">
      <c r="B359" s="31"/>
    </row>
    <row r="360" spans="2:2" x14ac:dyDescent="0.25">
      <c r="B360" s="31"/>
    </row>
    <row r="361" spans="2:2" x14ac:dyDescent="0.25">
      <c r="B361" s="31"/>
    </row>
    <row r="362" spans="2:2" x14ac:dyDescent="0.25">
      <c r="B362" s="31"/>
    </row>
    <row r="363" spans="2:2" x14ac:dyDescent="0.25">
      <c r="B363" s="31"/>
    </row>
    <row r="364" spans="2:2" x14ac:dyDescent="0.25">
      <c r="B364" s="31"/>
    </row>
    <row r="365" spans="2:2" x14ac:dyDescent="0.25">
      <c r="B365" s="31"/>
    </row>
    <row r="366" spans="2:2" x14ac:dyDescent="0.25">
      <c r="B366" s="31"/>
    </row>
    <row r="367" spans="2:2" x14ac:dyDescent="0.25">
      <c r="B367" s="31"/>
    </row>
    <row r="368" spans="2:2" x14ac:dyDescent="0.25">
      <c r="B368" s="31"/>
    </row>
    <row r="369" spans="2:2" x14ac:dyDescent="0.25">
      <c r="B369" s="31"/>
    </row>
    <row r="370" spans="2:2" x14ac:dyDescent="0.25">
      <c r="B370" s="31"/>
    </row>
    <row r="371" spans="2:2" x14ac:dyDescent="0.25">
      <c r="B371" s="31"/>
    </row>
    <row r="372" spans="2:2" x14ac:dyDescent="0.25">
      <c r="B372" s="31"/>
    </row>
    <row r="373" spans="2:2" x14ac:dyDescent="0.25">
      <c r="B373" s="31"/>
    </row>
    <row r="374" spans="2:2" x14ac:dyDescent="0.25">
      <c r="B374" s="31"/>
    </row>
    <row r="375" spans="2:2" x14ac:dyDescent="0.25">
      <c r="B375" s="31"/>
    </row>
    <row r="376" spans="2:2" x14ac:dyDescent="0.25">
      <c r="B376" s="31"/>
    </row>
    <row r="377" spans="2:2" x14ac:dyDescent="0.25">
      <c r="B377" s="31"/>
    </row>
    <row r="378" spans="2:2" x14ac:dyDescent="0.25">
      <c r="B378" s="31"/>
    </row>
    <row r="379" spans="2:2" x14ac:dyDescent="0.25">
      <c r="B379" s="31"/>
    </row>
    <row r="380" spans="2:2" x14ac:dyDescent="0.25">
      <c r="B380" s="31"/>
    </row>
    <row r="381" spans="2:2" x14ac:dyDescent="0.25">
      <c r="B381" s="31"/>
    </row>
    <row r="382" spans="2:2" x14ac:dyDescent="0.25">
      <c r="B382" s="31"/>
    </row>
    <row r="383" spans="2:2" x14ac:dyDescent="0.25">
      <c r="B383" s="31"/>
    </row>
    <row r="384" spans="2:2" x14ac:dyDescent="0.25">
      <c r="B384" s="31"/>
    </row>
    <row r="385" spans="2:2" x14ac:dyDescent="0.25">
      <c r="B385" s="31"/>
    </row>
    <row r="386" spans="2:2" x14ac:dyDescent="0.25">
      <c r="B386" s="31"/>
    </row>
    <row r="387" spans="2:2" x14ac:dyDescent="0.25">
      <c r="B387" s="31"/>
    </row>
    <row r="388" spans="2:2" x14ac:dyDescent="0.25">
      <c r="B388" s="31"/>
    </row>
    <row r="389" spans="2:2" x14ac:dyDescent="0.25">
      <c r="B389" s="31"/>
    </row>
    <row r="390" spans="2:2" x14ac:dyDescent="0.25">
      <c r="B390" s="31"/>
    </row>
    <row r="391" spans="2:2" x14ac:dyDescent="0.25">
      <c r="B391" s="31"/>
    </row>
    <row r="392" spans="2:2" x14ac:dyDescent="0.25">
      <c r="B392" s="31"/>
    </row>
    <row r="393" spans="2:2" x14ac:dyDescent="0.25">
      <c r="B393" s="31"/>
    </row>
    <row r="394" spans="2:2" x14ac:dyDescent="0.25">
      <c r="B394" s="31"/>
    </row>
    <row r="395" spans="2:2" x14ac:dyDescent="0.25">
      <c r="B395" s="31"/>
    </row>
    <row r="396" spans="2:2" x14ac:dyDescent="0.25">
      <c r="B396" s="31"/>
    </row>
    <row r="397" spans="2:2" x14ac:dyDescent="0.25">
      <c r="B397" s="31"/>
    </row>
    <row r="398" spans="2:2" x14ac:dyDescent="0.25">
      <c r="B398" s="31"/>
    </row>
    <row r="399" spans="2:2" x14ac:dyDescent="0.25">
      <c r="B399" s="31"/>
    </row>
    <row r="400" spans="2:2" x14ac:dyDescent="0.25">
      <c r="B400" s="31"/>
    </row>
    <row r="401" spans="2:2" x14ac:dyDescent="0.25">
      <c r="B401" s="31"/>
    </row>
    <row r="402" spans="2:2" x14ac:dyDescent="0.25">
      <c r="B402" s="31"/>
    </row>
    <row r="403" spans="2:2" x14ac:dyDescent="0.25">
      <c r="B403" s="31"/>
    </row>
    <row r="404" spans="2:2" x14ac:dyDescent="0.25">
      <c r="B404" s="31"/>
    </row>
    <row r="405" spans="2:2" x14ac:dyDescent="0.25">
      <c r="B405" s="31"/>
    </row>
    <row r="406" spans="2:2" x14ac:dyDescent="0.25">
      <c r="B406" s="31"/>
    </row>
  </sheetData>
  <phoneticPr fontId="0" type="noConversion"/>
  <dataValidations disablePrompts="1" count="9">
    <dataValidation type="list" allowBlank="1" showInputMessage="1" showErrorMessage="1" error="First must be &gt;1 and &lt; Last" sqref="C11">
      <formula1>"CHARTS,PICTURES,PRINT,WEB"</formula1>
    </dataValidation>
    <dataValidation type="list" allowBlank="1" showInputMessage="1" showErrorMessage="1" error="First must be &gt;1 and &lt; Last" sqref="B11">
      <formula1>"ALL,LIST"</formula1>
    </dataValidation>
    <dataValidation type="list" allowBlank="1" showInputMessage="1" showErrorMessage="1" error="First must be &gt;1 and &lt; Last" sqref="B14">
      <formula1>"NO,YES,KEEP,ONLY"</formula1>
    </dataValidation>
    <dataValidation type="list" allowBlank="1" showInputMessage="1" showErrorMessage="1" error="First must be &gt;1 and &lt; Last" sqref="C14">
      <formula1>"NOTOP,TOP"</formula1>
    </dataValidation>
    <dataValidation type="list" allowBlank="1" showInputMessage="1" showErrorMessage="1" sqref="B15">
      <formula1>"NO,YES"</formula1>
    </dataValidation>
    <dataValidation type="list" allowBlank="1" showInputMessage="1" showErrorMessage="1" sqref="B16">
      <formula1>"YES, NO"</formula1>
    </dataValidation>
    <dataValidation operator="greaterThan" allowBlank="1" showInputMessage="1" showErrorMessage="1" sqref="C13"/>
    <dataValidation type="whole" operator="greaterThan" allowBlank="1" showInputMessage="1" showErrorMessage="1" error="Last must be greater than First" sqref="C12">
      <formula1>B12</formula1>
    </dataValidation>
    <dataValidation type="whole" allowBlank="1" showInputMessage="1" showErrorMessage="1" error="First must be greater than 0 and less than Last" sqref="B12">
      <formula1>1</formula1>
      <formula2>C12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12700</xdr:colOff>
                <xdr:row>3</xdr:row>
                <xdr:rowOff>139700</xdr:rowOff>
              </from>
              <to>
                <xdr:col>2</xdr:col>
                <xdr:colOff>1301750</xdr:colOff>
                <xdr:row>6</xdr:row>
                <xdr:rowOff>25400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4"/>
  <sheetViews>
    <sheetView topLeftCell="A5" workbookViewId="0">
      <selection activeCell="B2" sqref="B2"/>
    </sheetView>
  </sheetViews>
  <sheetFormatPr defaultColWidth="9.7265625" defaultRowHeight="12.5" x14ac:dyDescent="0.25"/>
  <cols>
    <col min="1" max="6" width="9.7265625" customWidth="1"/>
    <col min="7" max="7" width="12.26953125" bestFit="1" customWidth="1"/>
    <col min="8" max="8" width="10" bestFit="1" customWidth="1"/>
    <col min="9" max="14" width="9.7265625" customWidth="1"/>
    <col min="15" max="15" width="9.7265625" hidden="1" customWidth="1"/>
  </cols>
  <sheetData>
    <row r="1" spans="1:15" ht="13" x14ac:dyDescent="0.3">
      <c r="A1" s="1" t="s">
        <v>20</v>
      </c>
    </row>
    <row r="2" spans="1:15" x14ac:dyDescent="0.25">
      <c r="A2" t="s">
        <v>21</v>
      </c>
      <c r="B2" s="3" t="s">
        <v>8</v>
      </c>
      <c r="C2" t="s">
        <v>71</v>
      </c>
    </row>
    <row r="3" spans="1:15" x14ac:dyDescent="0.25">
      <c r="A3" t="s">
        <v>13</v>
      </c>
      <c r="B3" s="43"/>
      <c r="C3" s="44"/>
      <c r="D3" s="44"/>
      <c r="E3" t="s">
        <v>14</v>
      </c>
    </row>
    <row r="5" spans="1:15" ht="13" x14ac:dyDescent="0.3">
      <c r="A5" s="1" t="s">
        <v>19</v>
      </c>
    </row>
    <row r="6" spans="1:15" x14ac:dyDescent="0.25">
      <c r="A6" t="s">
        <v>2</v>
      </c>
      <c r="B6" s="13" t="s">
        <v>3</v>
      </c>
      <c r="C6" t="s">
        <v>4</v>
      </c>
    </row>
    <row r="7" spans="1:15" x14ac:dyDescent="0.25">
      <c r="A7" t="s">
        <v>16</v>
      </c>
      <c r="B7" s="17">
        <v>763</v>
      </c>
      <c r="C7" t="s">
        <v>17</v>
      </c>
      <c r="D7" s="4">
        <f>+GWIDTH/2.4</f>
        <v>317.91666666666669</v>
      </c>
      <c r="E7" t="s">
        <v>22</v>
      </c>
    </row>
    <row r="8" spans="1:15" x14ac:dyDescent="0.25">
      <c r="A8" t="s">
        <v>31</v>
      </c>
      <c r="B8" s="14" t="s">
        <v>105</v>
      </c>
      <c r="C8" s="15"/>
      <c r="D8" s="15"/>
      <c r="E8" s="15"/>
      <c r="F8" s="15"/>
      <c r="G8" s="15"/>
      <c r="H8" s="15"/>
      <c r="I8" s="15"/>
    </row>
    <row r="9" spans="1:15" x14ac:dyDescent="0.25">
      <c r="A9" t="s">
        <v>42</v>
      </c>
      <c r="B9" s="18" t="s">
        <v>43</v>
      </c>
      <c r="C9" s="15"/>
      <c r="D9" s="19" t="s">
        <v>79</v>
      </c>
      <c r="E9" s="15"/>
      <c r="F9" s="15"/>
      <c r="G9" s="15"/>
      <c r="H9" s="15"/>
      <c r="I9" s="15"/>
    </row>
    <row r="10" spans="1:15" x14ac:dyDescent="0.25">
      <c r="A10" t="s">
        <v>95</v>
      </c>
      <c r="B10" s="16">
        <v>0</v>
      </c>
      <c r="C10" s="15"/>
      <c r="D10" s="19" t="s">
        <v>94</v>
      </c>
      <c r="E10" s="15"/>
      <c r="F10" s="15"/>
      <c r="G10" s="15"/>
      <c r="H10" s="15"/>
      <c r="I10" s="15"/>
    </row>
    <row r="11" spans="1:15" x14ac:dyDescent="0.25">
      <c r="A11" t="s">
        <v>7</v>
      </c>
      <c r="B11" s="23" t="s">
        <v>6</v>
      </c>
      <c r="D11" t="s">
        <v>24</v>
      </c>
      <c r="E11" s="15"/>
      <c r="F11" s="15"/>
      <c r="G11" s="15"/>
      <c r="H11" s="15"/>
      <c r="I11" s="15"/>
    </row>
    <row r="12" spans="1:15" x14ac:dyDescent="0.25">
      <c r="A12" t="s">
        <v>12</v>
      </c>
      <c r="B12" s="23">
        <v>0</v>
      </c>
      <c r="D12" t="s">
        <v>9</v>
      </c>
      <c r="E12" s="15"/>
      <c r="F12" s="15"/>
      <c r="G12" s="15"/>
      <c r="H12" s="15"/>
      <c r="I12" s="15"/>
    </row>
    <row r="13" spans="1:15" x14ac:dyDescent="0.25">
      <c r="A13" t="s">
        <v>40</v>
      </c>
      <c r="B13" s="20" t="s">
        <v>67</v>
      </c>
      <c r="C13" s="19" t="s">
        <v>41</v>
      </c>
      <c r="D13" s="15"/>
      <c r="E13" s="15"/>
      <c r="F13" s="15"/>
      <c r="G13" s="15"/>
      <c r="H13" s="15"/>
      <c r="I13" s="15"/>
    </row>
    <row r="14" spans="1:15" x14ac:dyDescent="0.25">
      <c r="B14" s="3"/>
      <c r="C14" s="11"/>
    </row>
    <row r="15" spans="1:15" ht="13" x14ac:dyDescent="0.3">
      <c r="A15" s="1" t="s">
        <v>56</v>
      </c>
      <c r="B15" s="3"/>
      <c r="C15" t="s">
        <v>68</v>
      </c>
    </row>
    <row r="16" spans="1:15" x14ac:dyDescent="0.25">
      <c r="C16" s="29" t="s">
        <v>60</v>
      </c>
      <c r="D16" s="30" t="s">
        <v>61</v>
      </c>
      <c r="E16" s="30" t="s">
        <v>62</v>
      </c>
      <c r="F16" s="30" t="s">
        <v>63</v>
      </c>
      <c r="G16" s="30" t="s">
        <v>64</v>
      </c>
      <c r="H16" s="30" t="s">
        <v>65</v>
      </c>
      <c r="O16" s="12"/>
    </row>
    <row r="17" spans="1:15" x14ac:dyDescent="0.25">
      <c r="C17" s="16" t="s">
        <v>48</v>
      </c>
      <c r="D17" s="16" t="s">
        <v>70</v>
      </c>
      <c r="E17" s="16" t="s">
        <v>50</v>
      </c>
      <c r="F17" s="24" t="s">
        <v>49</v>
      </c>
      <c r="G17" s="37" t="s">
        <v>69</v>
      </c>
      <c r="H17" s="16" t="s">
        <v>51</v>
      </c>
      <c r="O17" s="25"/>
    </row>
    <row r="18" spans="1:15" ht="13" x14ac:dyDescent="0.3">
      <c r="A18" s="42" t="s">
        <v>29</v>
      </c>
      <c r="B18" s="42"/>
      <c r="O18" s="25"/>
    </row>
    <row r="19" spans="1:15" x14ac:dyDescent="0.25">
      <c r="A19" t="s">
        <v>28</v>
      </c>
      <c r="B19" s="16">
        <v>1</v>
      </c>
      <c r="C19" t="s">
        <v>15</v>
      </c>
      <c r="D19" s="3" t="s">
        <v>8</v>
      </c>
      <c r="E19" t="s">
        <v>57</v>
      </c>
      <c r="O19" s="25"/>
    </row>
    <row r="20" spans="1:15" x14ac:dyDescent="0.25">
      <c r="A20" t="s">
        <v>27</v>
      </c>
      <c r="B20" s="47" t="s">
        <v>37</v>
      </c>
      <c r="C20" s="48"/>
      <c r="D20" t="s">
        <v>38</v>
      </c>
      <c r="O20" s="25"/>
    </row>
    <row r="21" spans="1:15" x14ac:dyDescent="0.25">
      <c r="B21" s="9"/>
    </row>
    <row r="22" spans="1:15" ht="13" x14ac:dyDescent="0.3">
      <c r="A22" s="1" t="s">
        <v>32</v>
      </c>
      <c r="B22" s="3"/>
      <c r="C22" s="10"/>
    </row>
    <row r="23" spans="1:15" x14ac:dyDescent="0.25">
      <c r="A23" s="2" t="s">
        <v>35</v>
      </c>
      <c r="B23" s="3" t="s">
        <v>6</v>
      </c>
      <c r="C23" s="10" t="s">
        <v>36</v>
      </c>
      <c r="D23" s="16" t="s">
        <v>6</v>
      </c>
      <c r="E23" t="s">
        <v>39</v>
      </c>
    </row>
    <row r="24" spans="1:15" x14ac:dyDescent="0.25">
      <c r="A24" t="s">
        <v>33</v>
      </c>
      <c r="B24" s="45"/>
      <c r="C24" s="46"/>
      <c r="D24" s="46"/>
      <c r="E24" t="s">
        <v>34</v>
      </c>
    </row>
    <row r="25" spans="1:15" x14ac:dyDescent="0.25">
      <c r="B25" s="3"/>
      <c r="C25" s="10"/>
    </row>
    <row r="26" spans="1:15" ht="13" x14ac:dyDescent="0.3">
      <c r="A26" s="1" t="s">
        <v>18</v>
      </c>
      <c r="B26" s="1"/>
      <c r="C26" s="1"/>
      <c r="D26" s="1"/>
      <c r="E26" s="1"/>
      <c r="F26" s="1"/>
    </row>
    <row r="27" spans="1:15" ht="13" x14ac:dyDescent="0.3">
      <c r="A27" s="2" t="s">
        <v>72</v>
      </c>
      <c r="B27" s="34" t="s">
        <v>1</v>
      </c>
      <c r="C27" s="2" t="s">
        <v>75</v>
      </c>
      <c r="D27" s="1"/>
      <c r="E27" s="1"/>
      <c r="F27" s="1"/>
    </row>
    <row r="28" spans="1:15" x14ac:dyDescent="0.25">
      <c r="A28" t="s">
        <v>45</v>
      </c>
      <c r="B28" s="17" t="s">
        <v>6</v>
      </c>
      <c r="C28" t="s">
        <v>74</v>
      </c>
    </row>
    <row r="30" spans="1:15" ht="13" x14ac:dyDescent="0.3">
      <c r="A30" s="5" t="s">
        <v>5</v>
      </c>
    </row>
    <row r="31" spans="1:15" x14ac:dyDescent="0.25">
      <c r="A31" s="35" t="s">
        <v>76</v>
      </c>
    </row>
    <row r="32" spans="1:15" x14ac:dyDescent="0.25">
      <c r="A32" t="s">
        <v>73</v>
      </c>
      <c r="O32" t="s">
        <v>1</v>
      </c>
    </row>
    <row r="33" spans="2:15" x14ac:dyDescent="0.25">
      <c r="B33" t="s">
        <v>46</v>
      </c>
      <c r="O33" t="s">
        <v>26</v>
      </c>
    </row>
    <row r="34" spans="2:15" x14ac:dyDescent="0.25">
      <c r="B34" t="s">
        <v>77</v>
      </c>
    </row>
  </sheetData>
  <mergeCells count="4">
    <mergeCell ref="A18:B18"/>
    <mergeCell ref="B3:D3"/>
    <mergeCell ref="B24:D24"/>
    <mergeCell ref="B20:C20"/>
  </mergeCells>
  <phoneticPr fontId="0" type="noConversion"/>
  <dataValidations count="6">
    <dataValidation type="whole" allowBlank="1" showInputMessage="1" showErrorMessage="1" sqref="B19">
      <formula1>1</formula1>
      <formula2>9999</formula2>
    </dataValidation>
    <dataValidation type="list" allowBlank="1" showInputMessage="1" showErrorMessage="1" sqref="B28 B2 B23 D23 B11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7">
      <formula1>"SUM,COUNT,MIN,AVG,MAX"</formula1>
    </dataValidation>
    <dataValidation type="list" allowBlank="1" showInputMessage="1" showErrorMessage="1" sqref="D19">
      <formula1>"NO,YES"</formula1>
    </dataValidation>
    <dataValidation type="list" allowBlank="1" showInputMessage="1" showErrorMessage="1" sqref="B27">
      <formula1>$O$32:$O$33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/>
  </sheetViews>
  <sheetFormatPr defaultRowHeight="12.5" x14ac:dyDescent="0.25"/>
  <cols>
    <col min="1" max="1" width="8.7265625" style="26" customWidth="1"/>
    <col min="2" max="2" width="11.54296875" bestFit="1" customWidth="1"/>
  </cols>
  <sheetData>
    <row r="1" spans="1:7" ht="13" x14ac:dyDescent="0.3">
      <c r="A1" s="28" t="str">
        <f>Analyser!A1</f>
        <v>V3.4.a</v>
      </c>
      <c r="B1" s="8">
        <f>Analyser!B1</f>
        <v>41149</v>
      </c>
      <c r="E1" t="s">
        <v>0</v>
      </c>
    </row>
    <row r="3" spans="1:7" ht="13" x14ac:dyDescent="0.3">
      <c r="A3" s="28" t="s">
        <v>86</v>
      </c>
      <c r="B3" s="27"/>
      <c r="C3" s="2"/>
      <c r="D3" s="2"/>
      <c r="E3" s="2"/>
      <c r="F3" s="2"/>
      <c r="G3" s="2"/>
    </row>
    <row r="4" spans="1:7" x14ac:dyDescent="0.25">
      <c r="A4" s="26" t="s">
        <v>52</v>
      </c>
      <c r="B4" s="26" t="s">
        <v>88</v>
      </c>
      <c r="C4" s="2"/>
      <c r="D4" s="2"/>
      <c r="E4" s="2"/>
      <c r="F4" s="2"/>
      <c r="G4" s="2"/>
    </row>
    <row r="5" spans="1:7" x14ac:dyDescent="0.25">
      <c r="A5" s="26" t="s">
        <v>53</v>
      </c>
      <c r="B5" s="26" t="s">
        <v>89</v>
      </c>
      <c r="C5" s="2"/>
      <c r="D5" s="2"/>
      <c r="E5" s="2"/>
      <c r="F5" s="2"/>
      <c r="G5" s="2"/>
    </row>
    <row r="6" spans="1:7" x14ac:dyDescent="0.25">
      <c r="A6" s="26" t="s">
        <v>54</v>
      </c>
      <c r="B6" t="s">
        <v>103</v>
      </c>
      <c r="C6" s="2"/>
      <c r="D6" s="2"/>
      <c r="E6" s="2"/>
      <c r="F6" s="2"/>
      <c r="G6" s="2"/>
    </row>
    <row r="7" spans="1:7" x14ac:dyDescent="0.25">
      <c r="A7" s="26" t="s">
        <v>55</v>
      </c>
      <c r="B7" s="26" t="s">
        <v>96</v>
      </c>
    </row>
    <row r="8" spans="1:7" x14ac:dyDescent="0.25">
      <c r="A8" s="26" t="s">
        <v>87</v>
      </c>
      <c r="B8" s="26" t="s">
        <v>93</v>
      </c>
    </row>
    <row r="9" spans="1:7" x14ac:dyDescent="0.25">
      <c r="A9" s="26" t="s">
        <v>92</v>
      </c>
      <c r="B9" s="26" t="s">
        <v>91</v>
      </c>
    </row>
    <row r="10" spans="1:7" x14ac:dyDescent="0.25">
      <c r="A10" s="26" t="s">
        <v>98</v>
      </c>
      <c r="B10" s="26" t="s">
        <v>99</v>
      </c>
    </row>
    <row r="11" spans="1:7" x14ac:dyDescent="0.25">
      <c r="A11" s="26" t="s">
        <v>100</v>
      </c>
      <c r="B11" s="26" t="s">
        <v>90</v>
      </c>
    </row>
    <row r="12" spans="1:7" x14ac:dyDescent="0.25">
      <c r="A12" s="26" t="s">
        <v>106</v>
      </c>
      <c r="B12" s="26" t="s">
        <v>107</v>
      </c>
    </row>
    <row r="13" spans="1:7" x14ac:dyDescent="0.25">
      <c r="B13" s="26"/>
    </row>
    <row r="14" spans="1:7" x14ac:dyDescent="0.25">
      <c r="B14" s="26"/>
    </row>
    <row r="15" spans="1:7" ht="13" x14ac:dyDescent="0.3">
      <c r="A15" s="28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Analyser</vt:lpstr>
      <vt:lpstr>Settings</vt:lpstr>
      <vt:lpstr>Release Notes</vt:lpstr>
      <vt:lpstr>BBBFont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Rob Seibert</cp:lastModifiedBy>
  <cp:lastPrinted>2005-06-27T09:03:13Z</cp:lastPrinted>
  <dcterms:created xsi:type="dcterms:W3CDTF">2003-01-22T12:09:51Z</dcterms:created>
  <dcterms:modified xsi:type="dcterms:W3CDTF">2017-09-15T09:54:21Z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