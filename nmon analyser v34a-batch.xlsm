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Desktop\"/>
    </mc:Choice>
  </mc:AlternateContent>
  <bookViews>
    <workbookView xWindow="2850" yWindow="270" windowWidth="3510" windowHeight="276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COPIES">Settings!$B$19</definedName>
    <definedName name="CPUmax">Settings!$B$10</definedName>
    <definedName name="DELIM">Settings!$B$27</definedName>
    <definedName name="DISKSORT">Analyser!#REF!</definedName>
    <definedName name="ESSanal">Analyser!$B$16</definedName>
    <definedName name="FILELIST">Analyser!$B$17</definedName>
    <definedName name="FIRST">Analyser!$B$12</definedName>
    <definedName name="FIRSTTIME">Analyser!$B$13</definedName>
    <definedName name="GHEIGHT">Settings!$D$7</definedName>
    <definedName name="GRAPHS">Analyser!$B$11</definedName>
    <definedName name="GWIDTH">Settings!$B$7</definedName>
    <definedName name="LAST">Analyser!$C$12</definedName>
    <definedName name="LASTTIME">Analyser!$C$13</definedName>
    <definedName name="LIST">Settings!$B$8</definedName>
    <definedName name="LSCAPE">Settings!$D$19</definedName>
    <definedName name="MERGE">Analyser!$B$14</definedName>
    <definedName name="NOLIST">Settings!$B$9</definedName>
    <definedName name="NOTOP">Analyser!$C$14</definedName>
    <definedName name="OUTDIR">Settings!$B$3</definedName>
    <definedName name="OUTPUT">Analyser!$C$11</definedName>
    <definedName name="PIVOT">Analyser!$B$15</definedName>
    <definedName name="PivotParms">Settings!$C$17:$H$17</definedName>
    <definedName name="PNG">Settings!$B$23</definedName>
    <definedName name="PRINTER">Settings!$B$20</definedName>
    <definedName name="REORDER">Settings!$B$11</definedName>
    <definedName name="REPROC">Settings!$B$2</definedName>
    <definedName name="SortInp">Settings!$B$28</definedName>
    <definedName name="SUBDIR">Settings!$D$23</definedName>
    <definedName name="TOPDISKS">Settings!$B$12</definedName>
    <definedName name="WEBDIR">Settings!$B$24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B1" i="3" l="1"/>
  <c r="B54" i="1"/>
  <c r="B55" i="1" s="1"/>
  <c r="A1" i="3"/>
  <c r="D7" i="2"/>
  <c r="B56" i="1" l="1"/>
</calcChain>
</file>

<file path=xl/sharedStrings.xml><?xml version="1.0" encoding="utf-8"?>
<sst xmlns="http://schemas.openxmlformats.org/spreadsheetml/2006/main" count="118" uniqueCount="110">
  <si>
    <t>Stephen Atkins    (steve_atkins@uk.ibm.com)</t>
  </si>
  <si>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</si>
  <si>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</si>
  <si>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</si>
  <si>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</si>
  <si>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</si>
  <si>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</si>
  <si>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</si>
  <si>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</si>
  <si>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</si>
  <si>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</si>
  <si>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</si>
  <si>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</si>
  <si>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</si>
  <si>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</si>
  <si>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</si>
  <si>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</si>
  <si>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</si>
  <si>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</si>
  <si>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</si>
  <si>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</si>
  <si>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</si>
  <si>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</si>
  <si>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CHARTS</t>
  </si>
  <si>
    <t>Set to NO to disable reordering of sheets after analysis</t>
  </si>
  <si>
    <t>INTERVALS</t>
  </si>
  <si>
    <t>;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</si>
  <si>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</si>
  <si>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</si>
  <si>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</si>
  <si>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</si>
  <si>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</si>
  <si>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</si>
  <si>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</si>
  <si>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</si>
  <si>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</si>
  <si>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</si>
  <si>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</si>
  <si>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</si>
  <si>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</si>
  <si>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</si>
  <si>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</si>
  <si>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</si>
  <si>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KEEP</t>
  </si>
  <si>
    <t>MERGE</t>
  </si>
  <si>
    <t>SORTINP</t>
  </si>
  <si>
    <t xml:space="preserve">This option may be useful for users in Denmark and Norway and for users who experience problems with the 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</si>
  <si>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</si>
  <si>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</si>
  <si>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</si>
  <si>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</si>
  <si>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</si>
  <si>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</si>
  <si>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</si>
  <si>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</si>
  <si>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</si>
  <si>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</si>
  <si>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</si>
  <si>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</si>
  <si>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</si>
  <si>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</si>
  <si>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</si>
  <si>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</si>
  <si>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</si>
  <si>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</si>
  <si>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</si>
  <si>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</si>
  <si>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</si>
  <si>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</si>
  <si>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</si>
  <si>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</si>
  <si>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</si>
  <si>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</si>
  <si>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 xml:space="preserve">2. Set SORTINP to NO if you use the AIX sort command to pre-sort the nmon file.   </t>
  </si>
  <si>
    <t>Use Excel/Windows to sort input file? (see Note 2)</t>
  </si>
  <si>
    <t>Delimiter used in .csv file (see Note 1)</t>
  </si>
  <si>
    <t>1. This is only provided for backwards compatibilty with files that have been converted using nmon2csv - set to ";" if required</t>
  </si>
  <si>
    <t>Microsoft collating sequence or Windows Sort command.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</si>
  <si>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</si>
  <si>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</si>
  <si>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</si>
  <si>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</si>
  <si>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</si>
  <si>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</si>
  <si>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</si>
  <si>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</si>
  <si>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>Modifications: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</si>
  <si>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</si>
  <si>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</si>
  <si>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</si>
  <si>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</si>
  <si>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</si>
  <si>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</si>
  <si>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</si>
  <si>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</si>
  <si>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</si>
  <si>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</si>
  <si>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ALL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</si>
  <si>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</si>
  <si>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</si>
  <si>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</si>
  <si>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</si>
  <si>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</si>
  <si>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</si>
  <si>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</si>
  <si>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CPU_ALL,DISKBUSY,ESS*,EMC*,FAST*,LPAR,MEM*,NET,PAGE,PROC,TOP</t>
  </si>
  <si>
    <t>9.</t>
  </si>
  <si>
    <t>CPU_SUMM, DISK_SUMM and SYS_SUMM automatically added to LIST</t>
  </si>
  <si>
    <t>V3.4.a</t>
  </si>
  <si>
    <t>Z:\NMON-todo.list.txt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</si>
</sst>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Fill="1"/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NumberFormat="1" applyFont="1" applyAlignment="1">
      <alignment horizontal="center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20920"/>
        <c:axId val="320724056"/>
      </c:barChart>
      <c:catAx>
        <c:axId val="320720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4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4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09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25232"/>
        <c:axId val="320725624"/>
      </c:barChart>
      <c:catAx>
        <c:axId val="32072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5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0725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52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722096"/>
        <c:axId val="395937952"/>
      </c:barChart>
      <c:catAx>
        <c:axId val="32072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937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9379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0722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27.995999999999999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935208"/>
        <c:axId val="395935600"/>
      </c:barChart>
      <c:catAx>
        <c:axId val="39593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935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935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9352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27.995999999999999</c:v>
              </c:pt>
              <c:pt idx="1">
                <c:v>64.191999999999894</c:v>
              </c:pt>
              <c:pt idx="2">
                <c:v>5.9719999999999898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532.22424501495505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21.176088412592001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5936384"/>
        <c:axId val="395935992"/>
      </c:barChart>
      <c:catAx>
        <c:axId val="395936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935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5935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59363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139700</xdr:rowOff>
        </xdr:from>
        <xdr:to>
          <xdr:col>2</xdr:col>
          <xdr:colOff>1301750</xdr:colOff>
          <xdr:row>6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6"/>
  <sheetViews>
    <sheetView tabSelected="1" zoomScaleNormal="100" workbookViewId="0">
      <selection activeCell="B17" sqref="B17"/>
    </sheetView>
  </sheetViews>
  <sheetFormatPr defaultRowHeight="12.5" x14ac:dyDescent="0.25"/>
  <cols>
    <col min="1" max="1" width="10.7265625" bestFit="1" customWidth="1"/>
    <col min="2" max="2" width="40.81640625" style="16" customWidth="1"/>
    <col min="3" max="3" width="23.26953125" customWidth="1"/>
    <col min="4" max="7" width="12" customWidth="1"/>
    <col min="15" max="15" width="9.7265625" style="12" customWidth="1"/>
  </cols>
  <sheetData>
    <row r="1" spans="1:11" x14ac:dyDescent="0.25">
      <c r="A1" s="6" t="s">
        <v>108</v>
      </c>
      <c r="B1" s="33">
        <v>41149</v>
      </c>
      <c r="C1" s="7"/>
      <c r="D1" s="7"/>
      <c r="E1" s="7"/>
      <c r="F1" s="7"/>
      <c r="G1" s="7"/>
      <c r="H1" s="7"/>
      <c r="I1" s="7"/>
    </row>
    <row r="2" spans="1:11" x14ac:dyDescent="0.25">
      <c r="A2" s="7"/>
      <c r="B2" s="21"/>
      <c r="C2" s="7"/>
      <c r="D2" s="7"/>
      <c r="E2" s="7"/>
      <c r="F2" s="7"/>
      <c r="G2" s="7"/>
      <c r="H2" s="7"/>
      <c r="I2" s="7"/>
    </row>
    <row r="3" spans="1:11" x14ac:dyDescent="0.25">
      <c r="A3" s="7"/>
      <c r="B3" s="21"/>
      <c r="C3" s="7"/>
      <c r="D3" s="7"/>
      <c r="E3" s="7"/>
      <c r="F3" s="7"/>
      <c r="G3" s="7"/>
      <c r="H3" s="7"/>
      <c r="I3" s="7"/>
    </row>
    <row r="4" spans="1:11" x14ac:dyDescent="0.25">
      <c r="A4" s="7"/>
      <c r="B4" s="21"/>
      <c r="C4" s="7"/>
      <c r="D4" s="7"/>
      <c r="E4" s="7"/>
      <c r="F4" s="7"/>
      <c r="G4" s="7"/>
      <c r="H4" s="7"/>
      <c r="I4" s="7"/>
    </row>
    <row r="5" spans="1:11" x14ac:dyDescent="0.25">
      <c r="A5" s="7"/>
      <c r="B5" s="21"/>
      <c r="C5" s="7"/>
      <c r="D5" s="7"/>
      <c r="E5" s="7"/>
      <c r="F5" s="7"/>
      <c r="G5" s="7"/>
      <c r="H5" s="7"/>
      <c r="I5" s="7"/>
    </row>
    <row r="6" spans="1:11" x14ac:dyDescent="0.25">
      <c r="A6" s="7"/>
      <c r="B6" s="21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21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21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21"/>
      <c r="C9" s="7"/>
      <c r="D9" s="7"/>
      <c r="E9" s="7"/>
      <c r="F9" s="7"/>
      <c r="G9" s="7"/>
      <c r="H9" s="7"/>
      <c r="I9" s="7"/>
      <c r="J9" s="7"/>
      <c r="K9" s="7"/>
    </row>
    <row r="10" spans="1:11" ht="13" x14ac:dyDescent="0.3">
      <c r="A10" s="36" t="s">
        <v>81</v>
      </c>
      <c r="B10" s="22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t="s">
        <v>30</v>
      </c>
      <c r="B11" s="23" t="s">
        <v>97</v>
      </c>
      <c r="C11" s="3" t="s">
        <v>23</v>
      </c>
      <c r="D11" t="s">
        <v>59</v>
      </c>
      <c r="H11" s="7"/>
      <c r="I11" s="7"/>
      <c r="J11" s="7"/>
      <c r="K11" s="7"/>
    </row>
    <row r="12" spans="1:11" x14ac:dyDescent="0.25">
      <c r="A12" t="s">
        <v>25</v>
      </c>
      <c r="B12" s="39">
        <v>1</v>
      </c>
      <c r="C12" s="40">
        <v>999999</v>
      </c>
      <c r="D12" t="s">
        <v>101</v>
      </c>
      <c r="H12" s="7"/>
      <c r="I12" s="7"/>
      <c r="J12" s="7"/>
      <c r="K12" s="7"/>
    </row>
    <row r="13" spans="1:11" x14ac:dyDescent="0.25">
      <c r="A13" t="s">
        <v>102</v>
      </c>
      <c r="B13" s="41"/>
      <c r="C13" s="38"/>
      <c r="D13" t="s">
        <v>104</v>
      </c>
      <c r="H13" s="7"/>
      <c r="I13" s="7"/>
      <c r="J13" s="7"/>
      <c r="K13" s="7"/>
    </row>
    <row r="14" spans="1:11" x14ac:dyDescent="0.25">
      <c r="A14" t="s">
        <v>44</v>
      </c>
      <c r="B14" s="23" t="s">
        <v>8</v>
      </c>
      <c r="C14" s="3" t="s">
        <v>66</v>
      </c>
      <c r="D14" t="s">
        <v>78</v>
      </c>
      <c r="H14" s="7"/>
      <c r="I14" s="7"/>
      <c r="J14" s="7"/>
      <c r="K14" s="7"/>
    </row>
    <row r="15" spans="1:11" x14ac:dyDescent="0.25">
      <c r="A15" t="s">
        <v>47</v>
      </c>
      <c r="B15" s="23" t="s">
        <v>8</v>
      </c>
      <c r="D15" t="s">
        <v>58</v>
      </c>
      <c r="I15" s="7"/>
      <c r="J15" s="7"/>
      <c r="K15" s="7"/>
    </row>
    <row r="16" spans="1:11" x14ac:dyDescent="0.25">
      <c r="A16" t="s">
        <v>80</v>
      </c>
      <c r="B16" s="16" t="s">
        <v>6</v>
      </c>
      <c r="C16" s="16"/>
      <c r="D16" t="s">
        <v>82</v>
      </c>
      <c r="H16" s="7"/>
      <c r="I16" s="7"/>
      <c r="J16" s="7"/>
      <c r="K16" s="7"/>
    </row>
    <row r="17" spans="1:15" x14ac:dyDescent="0.25">
      <c r="A17" t="s">
        <v>10</v>
      </c>
      <c r="B17" s="31" t="s">
        <v>109</v>
      </c>
      <c r="D17" t="s">
        <v>11</v>
      </c>
      <c r="H17" s="7"/>
      <c r="I17" s="7"/>
      <c r="J17" s="7"/>
      <c r="K17" s="7"/>
    </row>
    <row r="18" spans="1:15" x14ac:dyDescent="0.25">
      <c r="B18" s="31"/>
      <c r="C18" s="7"/>
      <c r="D18" s="7"/>
      <c r="E18" s="7"/>
      <c r="F18" s="7"/>
      <c r="G18" s="7"/>
      <c r="H18" s="7"/>
      <c r="I18" s="7"/>
      <c r="J18" s="7"/>
      <c r="K18" s="7"/>
    </row>
    <row r="19" spans="1:15" x14ac:dyDescent="0.25">
      <c r="B19" s="32"/>
      <c r="C19" s="7"/>
      <c r="D19" s="7"/>
      <c r="E19" s="7"/>
      <c r="F19" s="7"/>
      <c r="G19" s="7"/>
      <c r="H19" s="7"/>
      <c r="I19" s="7"/>
      <c r="J19" s="7"/>
      <c r="K19" s="7"/>
      <c r="O19" s="25"/>
    </row>
    <row r="20" spans="1:15" x14ac:dyDescent="0.25">
      <c r="B20" s="32"/>
      <c r="C20" s="7"/>
      <c r="D20" s="7"/>
      <c r="E20" s="7"/>
      <c r="F20" s="7"/>
      <c r="G20" s="7"/>
      <c r="H20" s="7"/>
      <c r="I20" s="7"/>
      <c r="J20" s="7"/>
      <c r="K20" s="7"/>
      <c r="O20" s="25"/>
    </row>
    <row r="21" spans="1:15" x14ac:dyDescent="0.25">
      <c r="B21" s="32"/>
      <c r="C21" s="7"/>
      <c r="D21" s="7"/>
      <c r="E21" s="7"/>
      <c r="F21" s="7"/>
      <c r="G21" s="7"/>
      <c r="H21" s="7"/>
      <c r="I21" s="7"/>
      <c r="J21" s="7"/>
      <c r="K21" s="7"/>
    </row>
    <row r="22" spans="1:15" x14ac:dyDescent="0.25">
      <c r="B22" s="32"/>
      <c r="C22" s="7"/>
      <c r="D22" s="7"/>
      <c r="E22" s="7"/>
      <c r="F22" s="7"/>
      <c r="G22" s="7"/>
      <c r="H22" s="7"/>
      <c r="I22" s="7"/>
      <c r="J22" s="7"/>
      <c r="K22" s="7"/>
    </row>
    <row r="23" spans="1:15" x14ac:dyDescent="0.25">
      <c r="B23" s="32"/>
      <c r="C23" s="7"/>
      <c r="D23" s="7"/>
      <c r="E23" s="7"/>
      <c r="F23" s="7"/>
      <c r="G23" s="7"/>
      <c r="H23" s="7"/>
      <c r="I23" s="7"/>
      <c r="J23" s="7"/>
      <c r="K23" s="7"/>
    </row>
    <row r="24" spans="1:15" x14ac:dyDescent="0.25">
      <c r="B24" s="31"/>
    </row>
    <row r="25" spans="1:15" x14ac:dyDescent="0.25">
      <c r="B25" s="31"/>
    </row>
    <row r="26" spans="1:15" x14ac:dyDescent="0.25">
      <c r="B26" s="31"/>
    </row>
    <row r="27" spans="1:15" x14ac:dyDescent="0.25">
      <c r="B27" s="31"/>
    </row>
    <row r="28" spans="1:15" x14ac:dyDescent="0.25">
      <c r="B28" s="31"/>
    </row>
    <row r="29" spans="1:15" x14ac:dyDescent="0.25">
      <c r="B29" s="31"/>
    </row>
    <row r="30" spans="1:15" x14ac:dyDescent="0.25">
      <c r="B30" s="31"/>
    </row>
    <row r="31" spans="1:15" x14ac:dyDescent="0.25">
      <c r="B31" s="31"/>
    </row>
    <row r="32" spans="1:15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1:2" x14ac:dyDescent="0.25">
      <c r="B49" s="31"/>
    </row>
    <row r="50" spans="1:2" x14ac:dyDescent="0.25">
      <c r="B50" s="31"/>
    </row>
    <row r="51" spans="1:2" x14ac:dyDescent="0.25">
      <c r="B51" s="31"/>
    </row>
    <row r="52" spans="1:2" x14ac:dyDescent="0.25">
      <c r="B52" s="31"/>
    </row>
    <row r="53" spans="1:2" x14ac:dyDescent="0.25">
      <c r="B53" s="31"/>
    </row>
    <row r="54" spans="1:2" x14ac:dyDescent="0.25">
      <c r="A54" t="s">
        <v>83</v>
      </c>
      <c r="B54" s="31">
        <f>AVERAGE(B2:B52)</f>
        <v>1</v>
      </c>
    </row>
    <row r="55" spans="1:2" x14ac:dyDescent="0.25">
      <c r="A55" t="s">
        <v>84</v>
      </c>
      <c r="B55" s="31">
        <f>IF(B54=0,0,MAX(SUMPRODUCT(B2:B52,B2:B52)/SUM(B2:B52)-B54,0))</f>
        <v>0</v>
      </c>
    </row>
    <row r="56" spans="1:2" x14ac:dyDescent="0.25">
      <c r="A56" t="s">
        <v>85</v>
      </c>
      <c r="B56" s="31">
        <f>ABS(MAX(B2:B52)-B54-B55)</f>
        <v>0</v>
      </c>
    </row>
    <row r="57" spans="1:2" x14ac:dyDescent="0.25">
      <c r="B57" s="31"/>
    </row>
    <row r="58" spans="1:2" x14ac:dyDescent="0.25">
      <c r="B58" s="31"/>
    </row>
    <row r="59" spans="1:2" x14ac:dyDescent="0.25">
      <c r="B59" s="31"/>
    </row>
    <row r="60" spans="1:2" x14ac:dyDescent="0.25">
      <c r="B60" s="31"/>
    </row>
    <row r="61" spans="1:2" x14ac:dyDescent="0.25">
      <c r="B61" s="31"/>
    </row>
    <row r="62" spans="1:2" x14ac:dyDescent="0.25">
      <c r="B62" s="31"/>
    </row>
    <row r="63" spans="1:2" x14ac:dyDescent="0.25">
      <c r="B63" s="31"/>
    </row>
    <row r="64" spans="1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</sheetData>
  <phoneticPr fontId="0" type="noConversion"/>
  <dataValidations disablePrompts="1" count="9">
    <dataValidation type="list" allowBlank="1" showInputMessage="1" showErrorMessage="1" error="First must be &gt;1 and &lt; Last" sqref="C11">
      <formula1>"CHARTS,PICTURES,PRINT,WEB"</formula1>
    </dataValidation>
    <dataValidation type="list" allowBlank="1" showInputMessage="1" showErrorMessage="1" error="First must be &gt;1 and &lt; Last" sqref="B11">
      <formula1>"ALL,LIST"</formula1>
    </dataValidation>
    <dataValidation type="list" allowBlank="1" showInputMessage="1" showErrorMessage="1" error="First must be &gt;1 and &lt; Last" sqref="B14">
      <formula1>"NO,YES,KEEP,ONLY"</formula1>
    </dataValidation>
    <dataValidation type="list" allowBlank="1" showInputMessage="1" showErrorMessage="1" error="First must be &gt;1 and &lt; Last" sqref="C14">
      <formula1>"NOTOP,TOP"</formula1>
    </dataValidation>
    <dataValidation type="list" allowBlank="1" showInputMessage="1" showErrorMessage="1" sqref="B15">
      <formula1>"NO,YES"</formula1>
    </dataValidation>
    <dataValidation type="list" allowBlank="1" showInputMessage="1" showErrorMessage="1" sqref="B16">
      <formula1>"YES, NO"</formula1>
    </dataValidation>
    <dataValidation operator="greaterThan" allowBlank="1" showInputMessage="1" showErrorMessage="1" sqref="C13"/>
    <dataValidation type="whole" operator="greaterThan" allowBlank="1" showInputMessage="1" showErrorMessage="1" error="Last must be greater than First" sqref="C12">
      <formula1>B12</formula1>
    </dataValidation>
    <dataValidation type="whole" allowBlank="1" showInputMessage="1" showErrorMessage="1" error="First must be greater than 0 and less than Last" sqref="B12">
      <formula1>1</formula1>
      <formula2>C12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12700</xdr:colOff>
                <xdr:row>3</xdr:row>
                <xdr:rowOff>139700</xdr:rowOff>
              </from>
              <to>
                <xdr:col>2</xdr:col>
                <xdr:colOff>1301750</xdr:colOff>
                <xdr:row>6</xdr:row>
                <xdr:rowOff>25400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opLeftCell="A5" workbookViewId="0">
      <selection activeCell="B2" sqref="B2"/>
    </sheetView>
  </sheetViews>
  <sheetFormatPr defaultColWidth="9.7265625" defaultRowHeight="12.5" x14ac:dyDescent="0.25"/>
  <cols>
    <col min="1" max="6" width="9.7265625" customWidth="1"/>
    <col min="7" max="7" width="12.26953125" bestFit="1" customWidth="1"/>
    <col min="8" max="8" width="10" bestFit="1" customWidth="1"/>
    <col min="9" max="14" width="9.7265625" customWidth="1"/>
    <col min="15" max="15" width="9.7265625" hidden="1" customWidth="1"/>
  </cols>
  <sheetData>
    <row r="1" spans="1:15" ht="13" x14ac:dyDescent="0.3">
      <c r="A1" s="1" t="s">
        <v>20</v>
      </c>
    </row>
    <row r="2" spans="1:15" x14ac:dyDescent="0.25">
      <c r="A2" t="s">
        <v>21</v>
      </c>
      <c r="B2" s="3" t="s">
        <v>8</v>
      </c>
      <c r="C2" t="s">
        <v>71</v>
      </c>
    </row>
    <row r="3" spans="1:15" x14ac:dyDescent="0.25">
      <c r="A3" t="s">
        <v>13</v>
      </c>
      <c r="B3" s="43"/>
      <c r="C3" s="44"/>
      <c r="D3" s="44"/>
      <c r="E3" t="s">
        <v>14</v>
      </c>
    </row>
    <row r="5" spans="1:15" ht="13" x14ac:dyDescent="0.3">
      <c r="A5" s="1" t="s">
        <v>19</v>
      </c>
    </row>
    <row r="6" spans="1:15" x14ac:dyDescent="0.25">
      <c r="A6" t="s">
        <v>2</v>
      </c>
      <c r="B6" s="13" t="s">
        <v>3</v>
      </c>
      <c r="C6" t="s">
        <v>4</v>
      </c>
    </row>
    <row r="7" spans="1:15" x14ac:dyDescent="0.25">
      <c r="A7" t="s">
        <v>16</v>
      </c>
      <c r="B7" s="17">
        <v>763</v>
      </c>
      <c r="C7" t="s">
        <v>17</v>
      </c>
      <c r="D7" s="4">
        <f>+GWIDTH/2.4</f>
        <v>317.91666666666669</v>
      </c>
      <c r="E7" t="s">
        <v>22</v>
      </c>
    </row>
    <row r="8" spans="1:15" x14ac:dyDescent="0.25">
      <c r="A8" t="s">
        <v>31</v>
      </c>
      <c r="B8" s="14" t="s">
        <v>105</v>
      </c>
      <c r="C8" s="15"/>
      <c r="D8" s="15"/>
      <c r="E8" s="15"/>
      <c r="F8" s="15"/>
      <c r="G8" s="15"/>
      <c r="H8" s="15"/>
      <c r="I8" s="15"/>
    </row>
    <row r="9" spans="1:15" x14ac:dyDescent="0.25">
      <c r="A9" t="s">
        <v>42</v>
      </c>
      <c r="B9" s="18" t="s">
        <v>43</v>
      </c>
      <c r="C9" s="15"/>
      <c r="D9" s="19" t="s">
        <v>79</v>
      </c>
      <c r="E9" s="15"/>
      <c r="F9" s="15"/>
      <c r="G9" s="15"/>
      <c r="H9" s="15"/>
      <c r="I9" s="15"/>
    </row>
    <row r="10" spans="1:15" x14ac:dyDescent="0.25">
      <c r="A10" t="s">
        <v>95</v>
      </c>
      <c r="B10" s="16">
        <v>0</v>
      </c>
      <c r="C10" s="15"/>
      <c r="D10" s="19" t="s">
        <v>94</v>
      </c>
      <c r="E10" s="15"/>
      <c r="F10" s="15"/>
      <c r="G10" s="15"/>
      <c r="H10" s="15"/>
      <c r="I10" s="15"/>
    </row>
    <row r="11" spans="1:15" x14ac:dyDescent="0.25">
      <c r="A11" t="s">
        <v>7</v>
      </c>
      <c r="B11" s="23" t="s">
        <v>6</v>
      </c>
      <c r="D11" t="s">
        <v>24</v>
      </c>
      <c r="E11" s="15"/>
      <c r="F11" s="15"/>
      <c r="G11" s="15"/>
      <c r="H11" s="15"/>
      <c r="I11" s="15"/>
    </row>
    <row r="12" spans="1:15" x14ac:dyDescent="0.25">
      <c r="A12" t="s">
        <v>12</v>
      </c>
      <c r="B12" s="23">
        <v>0</v>
      </c>
      <c r="D12" t="s">
        <v>9</v>
      </c>
      <c r="E12" s="15"/>
      <c r="F12" s="15"/>
      <c r="G12" s="15"/>
      <c r="H12" s="15"/>
      <c r="I12" s="15"/>
    </row>
    <row r="13" spans="1:15" x14ac:dyDescent="0.25">
      <c r="A13" t="s">
        <v>40</v>
      </c>
      <c r="B13" s="20" t="s">
        <v>67</v>
      </c>
      <c r="C13" s="19" t="s">
        <v>41</v>
      </c>
      <c r="D13" s="15"/>
      <c r="E13" s="15"/>
      <c r="F13" s="15"/>
      <c r="G13" s="15"/>
      <c r="H13" s="15"/>
      <c r="I13" s="15"/>
    </row>
    <row r="14" spans="1:15" x14ac:dyDescent="0.25">
      <c r="B14" s="3"/>
      <c r="C14" s="11"/>
    </row>
    <row r="15" spans="1:15" ht="13" x14ac:dyDescent="0.3">
      <c r="A15" s="1" t="s">
        <v>56</v>
      </c>
      <c r="B15" s="3"/>
      <c r="C15" t="s">
        <v>68</v>
      </c>
    </row>
    <row r="16" spans="1:15" x14ac:dyDescent="0.25">
      <c r="C16" s="29" t="s">
        <v>60</v>
      </c>
      <c r="D16" s="30" t="s">
        <v>61</v>
      </c>
      <c r="E16" s="30" t="s">
        <v>62</v>
      </c>
      <c r="F16" s="30" t="s">
        <v>63</v>
      </c>
      <c r="G16" s="30" t="s">
        <v>64</v>
      </c>
      <c r="H16" s="30" t="s">
        <v>65</v>
      </c>
      <c r="O16" s="12"/>
    </row>
    <row r="17" spans="1:15" x14ac:dyDescent="0.25">
      <c r="C17" s="16" t="s">
        <v>48</v>
      </c>
      <c r="D17" s="16" t="s">
        <v>70</v>
      </c>
      <c r="E17" s="16" t="s">
        <v>50</v>
      </c>
      <c r="F17" s="24" t="s">
        <v>49</v>
      </c>
      <c r="G17" s="37" t="s">
        <v>69</v>
      </c>
      <c r="H17" s="16" t="s">
        <v>51</v>
      </c>
      <c r="O17" s="25"/>
    </row>
    <row r="18" spans="1:15" ht="13" x14ac:dyDescent="0.3">
      <c r="A18" s="42" t="s">
        <v>29</v>
      </c>
      <c r="B18" s="42"/>
      <c r="O18" s="25"/>
    </row>
    <row r="19" spans="1:15" x14ac:dyDescent="0.25">
      <c r="A19" t="s">
        <v>28</v>
      </c>
      <c r="B19" s="16">
        <v>1</v>
      </c>
      <c r="C19" t="s">
        <v>15</v>
      </c>
      <c r="D19" s="3" t="s">
        <v>8</v>
      </c>
      <c r="E19" t="s">
        <v>57</v>
      </c>
      <c r="O19" s="25"/>
    </row>
    <row r="20" spans="1:15" x14ac:dyDescent="0.25">
      <c r="A20" t="s">
        <v>27</v>
      </c>
      <c r="B20" s="47" t="s">
        <v>37</v>
      </c>
      <c r="C20" s="48"/>
      <c r="D20" t="s">
        <v>38</v>
      </c>
      <c r="O20" s="25"/>
    </row>
    <row r="21" spans="1:15" x14ac:dyDescent="0.25">
      <c r="B21" s="9"/>
    </row>
    <row r="22" spans="1:15" ht="13" x14ac:dyDescent="0.3">
      <c r="A22" s="1" t="s">
        <v>32</v>
      </c>
      <c r="B22" s="3"/>
      <c r="C22" s="10"/>
    </row>
    <row r="23" spans="1:15" x14ac:dyDescent="0.25">
      <c r="A23" s="2" t="s">
        <v>35</v>
      </c>
      <c r="B23" s="3" t="s">
        <v>6</v>
      </c>
      <c r="C23" s="10" t="s">
        <v>36</v>
      </c>
      <c r="D23" s="16" t="s">
        <v>6</v>
      </c>
      <c r="E23" t="s">
        <v>39</v>
      </c>
    </row>
    <row r="24" spans="1:15" x14ac:dyDescent="0.25">
      <c r="A24" t="s">
        <v>33</v>
      </c>
      <c r="B24" s="45"/>
      <c r="C24" s="46"/>
      <c r="D24" s="46"/>
      <c r="E24" t="s">
        <v>34</v>
      </c>
    </row>
    <row r="25" spans="1:15" x14ac:dyDescent="0.25">
      <c r="B25" s="3"/>
      <c r="C25" s="10"/>
    </row>
    <row r="26" spans="1:15" ht="13" x14ac:dyDescent="0.3">
      <c r="A26" s="1" t="s">
        <v>18</v>
      </c>
      <c r="B26" s="1"/>
      <c r="C26" s="1"/>
      <c r="D26" s="1"/>
      <c r="E26" s="1"/>
      <c r="F26" s="1"/>
    </row>
    <row r="27" spans="1:15" ht="13" x14ac:dyDescent="0.3">
      <c r="A27" s="2" t="s">
        <v>72</v>
      </c>
      <c r="B27" s="34" t="s">
        <v>1</v>
      </c>
      <c r="C27" s="2" t="s">
        <v>75</v>
      </c>
      <c r="D27" s="1"/>
      <c r="E27" s="1"/>
      <c r="F27" s="1"/>
    </row>
    <row r="28" spans="1:15" x14ac:dyDescent="0.25">
      <c r="A28" t="s">
        <v>45</v>
      </c>
      <c r="B28" s="17" t="s">
        <v>6</v>
      </c>
      <c r="C28" t="s">
        <v>74</v>
      </c>
    </row>
    <row r="30" spans="1:15" ht="13" x14ac:dyDescent="0.3">
      <c r="A30" s="5" t="s">
        <v>5</v>
      </c>
    </row>
    <row r="31" spans="1:15" x14ac:dyDescent="0.25">
      <c r="A31" s="35" t="s">
        <v>76</v>
      </c>
    </row>
    <row r="32" spans="1:15" x14ac:dyDescent="0.25">
      <c r="A32" t="s">
        <v>73</v>
      </c>
      <c r="O32" t="s">
        <v>1</v>
      </c>
    </row>
    <row r="33" spans="2:15" x14ac:dyDescent="0.25">
      <c r="B33" t="s">
        <v>46</v>
      </c>
      <c r="O33" t="s">
        <v>26</v>
      </c>
    </row>
    <row r="34" spans="2:15" x14ac:dyDescent="0.25">
      <c r="B34" t="s">
        <v>77</v>
      </c>
    </row>
  </sheetData>
  <mergeCells count="4">
    <mergeCell ref="A18:B18"/>
    <mergeCell ref="B3:D3"/>
    <mergeCell ref="B24:D24"/>
    <mergeCell ref="B20:C20"/>
  </mergeCells>
  <phoneticPr fontId="0" type="noConversion"/>
  <dataValidations count="6">
    <dataValidation type="whole" allowBlank="1" showInputMessage="1" showErrorMessage="1" sqref="B19">
      <formula1>1</formula1>
      <formula2>9999</formula2>
    </dataValidation>
    <dataValidation type="list" allowBlank="1" showInputMessage="1" showErrorMessage="1" sqref="B28 B2 B23 D23 B11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7">
      <formula1>"SUM,COUNT,MIN,AVG,MAX"</formula1>
    </dataValidation>
    <dataValidation type="list" allowBlank="1" showInputMessage="1" showErrorMessage="1" sqref="D19">
      <formula1>"NO,YES"</formula1>
    </dataValidation>
    <dataValidation type="list" allowBlank="1" showInputMessage="1" showErrorMessage="1" sqref="B27">
      <formula1>$O$32:$O$33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/>
  </sheetViews>
  <sheetFormatPr defaultRowHeight="12.5" x14ac:dyDescent="0.25"/>
  <cols>
    <col min="1" max="1" width="8.7265625" style="26" customWidth="1"/>
    <col min="2" max="2" width="11.54296875" bestFit="1" customWidth="1"/>
  </cols>
  <sheetData>
    <row r="1" spans="1:7" ht="13" x14ac:dyDescent="0.3">
      <c r="A1" s="28" t="str">
        <f>Analyser!A1</f>
        <v>V3.4.a</v>
      </c>
      <c r="B1" s="8">
        <f>Analyser!B1</f>
        <v>41149</v>
      </c>
      <c r="E1" t="s">
        <v>0</v>
      </c>
    </row>
    <row r="3" spans="1:7" ht="13" x14ac:dyDescent="0.3">
      <c r="A3" s="28" t="s">
        <v>86</v>
      </c>
      <c r="B3" s="27"/>
      <c r="C3" s="2"/>
      <c r="D3" s="2"/>
      <c r="E3" s="2"/>
      <c r="F3" s="2"/>
      <c r="G3" s="2"/>
    </row>
    <row r="4" spans="1:7" x14ac:dyDescent="0.25">
      <c r="A4" s="26" t="s">
        <v>52</v>
      </c>
      <c r="B4" s="26" t="s">
        <v>88</v>
      </c>
      <c r="C4" s="2"/>
      <c r="D4" s="2"/>
      <c r="E4" s="2"/>
      <c r="F4" s="2"/>
      <c r="G4" s="2"/>
    </row>
    <row r="5" spans="1:7" x14ac:dyDescent="0.25">
      <c r="A5" s="26" t="s">
        <v>53</v>
      </c>
      <c r="B5" s="26" t="s">
        <v>89</v>
      </c>
      <c r="C5" s="2"/>
      <c r="D5" s="2"/>
      <c r="E5" s="2"/>
      <c r="F5" s="2"/>
      <c r="G5" s="2"/>
    </row>
    <row r="6" spans="1:7" x14ac:dyDescent="0.25">
      <c r="A6" s="26" t="s">
        <v>54</v>
      </c>
      <c r="B6" t="s">
        <v>103</v>
      </c>
      <c r="C6" s="2"/>
      <c r="D6" s="2"/>
      <c r="E6" s="2"/>
      <c r="F6" s="2"/>
      <c r="G6" s="2"/>
    </row>
    <row r="7" spans="1:7" x14ac:dyDescent="0.25">
      <c r="A7" s="26" t="s">
        <v>55</v>
      </c>
      <c r="B7" s="26" t="s">
        <v>96</v>
      </c>
    </row>
    <row r="8" spans="1:7" x14ac:dyDescent="0.25">
      <c r="A8" s="26" t="s">
        <v>87</v>
      </c>
      <c r="B8" s="26" t="s">
        <v>93</v>
      </c>
    </row>
    <row r="9" spans="1:7" x14ac:dyDescent="0.25">
      <c r="A9" s="26" t="s">
        <v>92</v>
      </c>
      <c r="B9" s="26" t="s">
        <v>91</v>
      </c>
    </row>
    <row r="10" spans="1:7" x14ac:dyDescent="0.25">
      <c r="A10" s="26" t="s">
        <v>98</v>
      </c>
      <c r="B10" s="26" t="s">
        <v>99</v>
      </c>
    </row>
    <row r="11" spans="1:7" x14ac:dyDescent="0.25">
      <c r="A11" s="26" t="s">
        <v>100</v>
      </c>
      <c r="B11" s="26" t="s">
        <v>90</v>
      </c>
    </row>
    <row r="12" spans="1:7" x14ac:dyDescent="0.25">
      <c r="A12" s="26" t="s">
        <v>106</v>
      </c>
      <c r="B12" s="26" t="s">
        <v>107</v>
      </c>
    </row>
    <row r="13" spans="1:7" x14ac:dyDescent="0.25">
      <c r="B13" s="26"/>
    </row>
    <row r="14" spans="1:7" x14ac:dyDescent="0.25">
      <c r="B14" s="26"/>
    </row>
    <row r="15" spans="1:7" ht="13" x14ac:dyDescent="0.3">
      <c r="A15" s="28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Analyser</vt:lpstr>
      <vt:lpstr>Settings</vt:lpstr>
      <vt:lpstr>Release Notes</vt:lpstr>
      <vt:lpstr>BBBFont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Rob Seibert</cp:lastModifiedBy>
  <cp:lastPrinted>2005-06-27T09:03:13Z</cp:lastPrinted>
  <dcterms:created xsi:type="dcterms:W3CDTF">2003-01-22T12:09:51Z</dcterms:created>
  <dcterms:modified xsi:type="dcterms:W3CDTF">2018-02-12T15:17:26Z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